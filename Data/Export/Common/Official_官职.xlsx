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DD638A07-A7CB-4C9A-915A-B80812256116}" xr6:coauthVersionLast="47" xr6:coauthVersionMax="47" xr10:uidLastSave="{00000000-0000-0000-0000-000000000000}"/>
  <bookViews>
    <workbookView xWindow="-120" yWindow="-120" windowWidth="29040" windowHeight="15840" tabRatio="923" activeTab="1" xr2:uid="{00000000-000D-0000-FFFF-FFFF00000000}"/>
  </bookViews>
  <sheets>
    <sheet name="Officials" sheetId="36" r:id="rId1"/>
    <sheet name="ai" sheetId="3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37" l="1"/>
  <c r="E7" i="37"/>
  <c r="E8" i="37"/>
  <c r="E9" i="37"/>
  <c r="E10" i="37"/>
  <c r="E11" i="37"/>
  <c r="E12" i="37"/>
  <c r="E13" i="37"/>
  <c r="E14" i="37"/>
  <c r="E15" i="37"/>
  <c r="E16" i="37"/>
  <c r="E17" i="37"/>
  <c r="E18" i="37"/>
  <c r="E19" i="37"/>
  <c r="E20" i="37"/>
  <c r="E21" i="37"/>
  <c r="E22" i="37"/>
  <c r="E23" i="37"/>
  <c r="E24" i="37"/>
  <c r="E25" i="37"/>
  <c r="E26" i="37"/>
  <c r="E27" i="37"/>
  <c r="E28" i="37"/>
  <c r="E29" i="37"/>
  <c r="E30" i="37"/>
  <c r="E31" i="37"/>
  <c r="E32" i="37"/>
  <c r="E33" i="37"/>
  <c r="E34" i="37"/>
  <c r="E35" i="37"/>
  <c r="E36" i="37"/>
  <c r="E37" i="37"/>
  <c r="E38" i="37"/>
  <c r="E39" i="37"/>
  <c r="E40" i="37"/>
  <c r="E41" i="37"/>
  <c r="E42" i="37"/>
  <c r="E43" i="37"/>
  <c r="E44" i="37"/>
  <c r="E45" i="37"/>
  <c r="E46" i="37"/>
  <c r="E47" i="37"/>
  <c r="E48" i="37"/>
  <c r="E49" i="37"/>
  <c r="E50" i="37"/>
  <c r="E51" i="37"/>
  <c r="E52" i="37"/>
  <c r="E53" i="37"/>
  <c r="E54" i="37"/>
  <c r="E55" i="37"/>
  <c r="E56" i="37"/>
  <c r="E57" i="37"/>
  <c r="E58" i="37"/>
  <c r="E59" i="37"/>
  <c r="E60" i="37"/>
  <c r="E61" i="37"/>
  <c r="E62" i="37"/>
  <c r="E63" i="37"/>
  <c r="E64" i="37"/>
  <c r="E65" i="37"/>
  <c r="E66" i="37"/>
  <c r="E67" i="37"/>
  <c r="E68" i="37"/>
  <c r="E69" i="37"/>
  <c r="E70" i="37"/>
  <c r="E71" i="37"/>
  <c r="E72" i="37"/>
  <c r="E73" i="37"/>
  <c r="E74" i="37"/>
  <c r="E75" i="37"/>
  <c r="E76" i="37"/>
  <c r="E77" i="37"/>
  <c r="E78" i="37"/>
  <c r="E79" i="37"/>
  <c r="E80" i="37"/>
  <c r="E81" i="37"/>
  <c r="E82" i="37"/>
  <c r="E83" i="37"/>
  <c r="E84" i="37"/>
  <c r="E85" i="37"/>
  <c r="E86" i="37"/>
  <c r="E87" i="37"/>
  <c r="E88" i="37"/>
  <c r="E89" i="37"/>
  <c r="E90" i="37"/>
  <c r="E91" i="37"/>
  <c r="E92" i="37"/>
  <c r="E93" i="37"/>
  <c r="E94" i="37"/>
  <c r="E95" i="37"/>
  <c r="E96" i="37"/>
  <c r="E97" i="37"/>
  <c r="E98" i="37"/>
  <c r="E99" i="37"/>
  <c r="E100" i="37"/>
  <c r="E101" i="37"/>
  <c r="E102" i="37"/>
  <c r="E103" i="37"/>
  <c r="E104" i="37"/>
  <c r="E105" i="37"/>
  <c r="E106" i="37"/>
  <c r="E107" i="37"/>
  <c r="E108" i="37"/>
  <c r="E109" i="37"/>
  <c r="E110" i="37"/>
  <c r="E111" i="37"/>
  <c r="E112" i="37"/>
  <c r="E113" i="37"/>
  <c r="E114" i="37"/>
  <c r="E115" i="37"/>
  <c r="E116" i="37"/>
  <c r="E117" i="37"/>
  <c r="E118" i="37"/>
  <c r="E119" i="37"/>
  <c r="E120" i="37"/>
  <c r="E121" i="37"/>
  <c r="E122" i="37"/>
  <c r="E123" i="37"/>
  <c r="E124" i="37"/>
  <c r="E125" i="37"/>
  <c r="E126" i="37"/>
  <c r="E127" i="37"/>
  <c r="E128" i="37"/>
  <c r="E129" i="37"/>
  <c r="E130" i="37"/>
  <c r="E131" i="37"/>
  <c r="E132" i="37"/>
  <c r="E133" i="37"/>
  <c r="E134" i="37"/>
  <c r="E135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29" i="37"/>
  <c r="D30" i="37"/>
  <c r="D31" i="37"/>
  <c r="D32" i="37"/>
  <c r="D33" i="37"/>
  <c r="D34" i="37"/>
  <c r="D35" i="37"/>
  <c r="D36" i="37"/>
  <c r="D37" i="37"/>
  <c r="D38" i="37"/>
  <c r="D39" i="37"/>
  <c r="D40" i="37"/>
  <c r="D41" i="37"/>
  <c r="D42" i="37"/>
  <c r="D43" i="37"/>
  <c r="D44" i="37"/>
  <c r="D45" i="37"/>
  <c r="D46" i="37"/>
  <c r="D47" i="37"/>
  <c r="D48" i="37"/>
  <c r="D49" i="37"/>
  <c r="D50" i="37"/>
  <c r="D51" i="37"/>
  <c r="D52" i="37"/>
  <c r="D53" i="37"/>
  <c r="D54" i="37"/>
  <c r="D55" i="37"/>
  <c r="D56" i="37"/>
  <c r="D57" i="37"/>
  <c r="D58" i="37"/>
  <c r="D59" i="37"/>
  <c r="D60" i="37"/>
  <c r="D61" i="37"/>
  <c r="D62" i="37"/>
  <c r="D63" i="37"/>
  <c r="D64" i="37"/>
  <c r="D65" i="37"/>
  <c r="D66" i="37"/>
  <c r="D67" i="37"/>
  <c r="D68" i="37"/>
  <c r="D69" i="37"/>
  <c r="D70" i="37"/>
  <c r="D71" i="37"/>
  <c r="D72" i="37"/>
  <c r="D73" i="37"/>
  <c r="D74" i="37"/>
  <c r="D75" i="37"/>
  <c r="D76" i="37"/>
  <c r="D77" i="37"/>
  <c r="D78" i="37"/>
  <c r="D79" i="37"/>
  <c r="D80" i="37"/>
  <c r="D81" i="37"/>
  <c r="D82" i="37"/>
  <c r="D83" i="37"/>
  <c r="D84" i="37"/>
  <c r="D85" i="37"/>
  <c r="D86" i="37"/>
  <c r="D87" i="37"/>
  <c r="D88" i="37"/>
  <c r="D89" i="37"/>
  <c r="D90" i="37"/>
  <c r="D91" i="37"/>
  <c r="D92" i="37"/>
  <c r="D93" i="37"/>
  <c r="D94" i="37"/>
  <c r="D95" i="37"/>
  <c r="D96" i="37"/>
  <c r="D97" i="37"/>
  <c r="D98" i="37"/>
  <c r="D99" i="37"/>
  <c r="D100" i="37"/>
  <c r="D101" i="37"/>
  <c r="D102" i="37"/>
  <c r="D103" i="37"/>
  <c r="D104" i="37"/>
  <c r="D105" i="37"/>
  <c r="D106" i="37"/>
  <c r="D107" i="37"/>
  <c r="D108" i="37"/>
  <c r="D109" i="37"/>
  <c r="D110" i="37"/>
  <c r="D111" i="37"/>
  <c r="D112" i="37"/>
  <c r="D113" i="37"/>
  <c r="D114" i="37"/>
  <c r="D115" i="37"/>
  <c r="D116" i="37"/>
  <c r="D117" i="37"/>
  <c r="D118" i="37"/>
  <c r="D119" i="37"/>
  <c r="D120" i="37"/>
  <c r="D121" i="37"/>
  <c r="D122" i="37"/>
  <c r="D123" i="37"/>
  <c r="D124" i="37"/>
  <c r="D125" i="37"/>
  <c r="D126" i="37"/>
  <c r="D127" i="37"/>
  <c r="D128" i="37"/>
  <c r="D129" i="37"/>
  <c r="D130" i="37"/>
  <c r="D131" i="37"/>
  <c r="D132" i="37"/>
  <c r="D133" i="37"/>
  <c r="D134" i="37"/>
  <c r="D135" i="37"/>
  <c r="D6" i="37"/>
</calcChain>
</file>

<file path=xl/sharedStrings.xml><?xml version="1.0" encoding="utf-8"?>
<sst xmlns="http://schemas.openxmlformats.org/spreadsheetml/2006/main" count="566" uniqueCount="435">
  <si>
    <t>备注:</t>
    <phoneticPr fontId="1" type="noConversion"/>
  </si>
  <si>
    <t>#</t>
    <phoneticPr fontId="1" type="noConversion"/>
  </si>
  <si>
    <t>Name</t>
    <phoneticPr fontId="1" type="noConversion"/>
  </si>
  <si>
    <t>序号</t>
  </si>
  <si>
    <t>名称</t>
  </si>
  <si>
    <t>指挥</t>
  </si>
  <si>
    <t>俸禄</t>
  </si>
  <si>
    <t>级别</t>
  </si>
  <si>
    <t>功绩</t>
  </si>
  <si>
    <t>丞相</t>
  </si>
  <si>
    <t>司空</t>
  </si>
  <si>
    <t>太尉</t>
  </si>
  <si>
    <t>司徒</t>
  </si>
  <si>
    <t>大都督</t>
  </si>
  <si>
    <t>卫将军</t>
  </si>
  <si>
    <t>骠骑将军</t>
  </si>
  <si>
    <t>车骑将军</t>
  </si>
  <si>
    <t>光禄勋</t>
  </si>
  <si>
    <t>大司农</t>
  </si>
  <si>
    <t>廷尉</t>
  </si>
  <si>
    <t>卫尉</t>
  </si>
  <si>
    <t>征东将军</t>
  </si>
  <si>
    <t>征南将军</t>
  </si>
  <si>
    <t>征西将军</t>
  </si>
  <si>
    <t>征北将军</t>
  </si>
  <si>
    <t>尚书令</t>
  </si>
  <si>
    <t>太仆</t>
  </si>
  <si>
    <t>太常</t>
  </si>
  <si>
    <t>大鸿胪</t>
  </si>
  <si>
    <t>镇东将军</t>
  </si>
  <si>
    <t>镇南将军</t>
  </si>
  <si>
    <t>镇西将军</t>
  </si>
  <si>
    <t>镇北将军</t>
  </si>
  <si>
    <t>中书令</t>
  </si>
  <si>
    <t>御史中丞</t>
  </si>
  <si>
    <t>执金吾</t>
  </si>
  <si>
    <t>少府</t>
  </si>
  <si>
    <t>安东将军</t>
  </si>
  <si>
    <t>安南将军</t>
  </si>
  <si>
    <t>安西将军</t>
  </si>
  <si>
    <t>安北将军</t>
  </si>
  <si>
    <t>秘书令</t>
  </si>
  <si>
    <t>侍中</t>
  </si>
  <si>
    <t>留府长史</t>
  </si>
  <si>
    <t>太学博士</t>
  </si>
  <si>
    <t>左将军</t>
  </si>
  <si>
    <t>右将军</t>
  </si>
  <si>
    <t>前将军</t>
  </si>
  <si>
    <t>后将军</t>
  </si>
  <si>
    <t>谒者仆射</t>
  </si>
  <si>
    <t>都尉</t>
  </si>
  <si>
    <t>黄门侍郎</t>
  </si>
  <si>
    <t>太史令</t>
  </si>
  <si>
    <t>军师将军</t>
  </si>
  <si>
    <t>安国将军</t>
  </si>
  <si>
    <t>破虏将军</t>
  </si>
  <si>
    <t>讨逆将军</t>
  </si>
  <si>
    <t>郎中</t>
  </si>
  <si>
    <t>从事中郎</t>
  </si>
  <si>
    <t>长史</t>
  </si>
  <si>
    <t>司马</t>
  </si>
  <si>
    <t>平东将军</t>
  </si>
  <si>
    <t>平南将军</t>
  </si>
  <si>
    <t>平西将军</t>
  </si>
  <si>
    <t>平北将军</t>
  </si>
  <si>
    <t>太乐令</t>
  </si>
  <si>
    <t>大仓令</t>
  </si>
  <si>
    <t>武库令</t>
  </si>
  <si>
    <t>卫士令</t>
  </si>
  <si>
    <t>牙门将军</t>
  </si>
  <si>
    <t>护军</t>
  </si>
  <si>
    <t>偏将军</t>
  </si>
  <si>
    <t>裨将军</t>
  </si>
  <si>
    <t>主簿</t>
  </si>
  <si>
    <t>谏议大夫</t>
  </si>
  <si>
    <t>侍郎</t>
  </si>
  <si>
    <t>中郎</t>
  </si>
  <si>
    <t>忠义校尉</t>
  </si>
  <si>
    <t>昭信校尉</t>
  </si>
  <si>
    <t>儒林校尉</t>
  </si>
  <si>
    <t>建议校尉</t>
  </si>
  <si>
    <t>左仆射</t>
  </si>
  <si>
    <t>右仆射</t>
  </si>
  <si>
    <t>典农校尉</t>
  </si>
  <si>
    <t>议郎</t>
  </si>
  <si>
    <t>奋威校尉</t>
  </si>
  <si>
    <t>长水校尉</t>
  </si>
  <si>
    <t>破贼校尉</t>
  </si>
  <si>
    <t>武卫校尉</t>
  </si>
  <si>
    <t>无</t>
  </si>
  <si>
    <t>Id</t>
    <phoneticPr fontId="1" type="noConversion"/>
  </si>
  <si>
    <t>troopsLimit</t>
    <phoneticPr fontId="1" type="noConversion"/>
  </si>
  <si>
    <t>meritNeeds</t>
    <phoneticPr fontId="1" type="noConversion"/>
  </si>
  <si>
    <t>0</t>
    <phoneticPr fontId="1" type="noConversion"/>
  </si>
  <si>
    <t>cost</t>
    <phoneticPr fontId="1" type="noConversion"/>
  </si>
  <si>
    <t>level</t>
    <phoneticPr fontId="1" type="noConversion"/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</si>
  <si>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</si>
  <si>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</si>
  <si>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</si>
  <si>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</si>
  <si>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</si>
  <si>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</si>
  <si>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</si>
  <si>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</si>
  <si>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</si>
  <si>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</si>
  <si>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</si>
  <si>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</si>
  <si>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</si>
  <si>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</si>
  <si>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</si>
  <si>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</si>
  <si>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</si>
  <si>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</si>
  <si>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</si>
  <si>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</si>
  <si>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</si>
  <si>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</si>
  <si>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</si>
  <si>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</si>
  <si>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</si>
  <si>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</si>
  <si>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</si>
  <si>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</si>
  <si>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</si>
  <si>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</si>
  <si>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</si>
  <si>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</si>
  <si>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</si>
  <si>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</si>
  <si>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</si>
  <si>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</si>
  <si>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</si>
  <si>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</si>
  <si>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</si>
  <si>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</si>
  <si>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</si>
  <si>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</si>
  <si>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</si>
  <si>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</si>
  <si>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</si>
  <si>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</si>
  <si>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</si>
  <si>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</si>
  <si>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</si>
  <si>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</si>
  <si>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</si>
  <si>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</si>
  <si>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</si>
  <si>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</si>
  <si>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</si>
  <si>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</si>
  <si>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</si>
  <si>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</si>
  <si>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</si>
  <si>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</si>
  <si>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</si>
  <si>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</si>
  <si>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</si>
  <si>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</si>
  <si>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</si>
  <si>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</si>
  <si>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</si>
  <si>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</si>
  <si>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</si>
  <si>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</si>
  <si>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</si>
  <si>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</si>
  <si>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</si>
  <si>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</si>
  <si>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</si>
  <si>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</si>
  <si>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</si>
  <si>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</si>
  <si>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</si>
  <si>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</si>
  <si>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i32</t>
    <phoneticPr fontId="1" type="noConversion"/>
  </si>
  <si>
    <t>2000</t>
    <phoneticPr fontId="1" type="noConversion"/>
  </si>
  <si>
    <t>effect_desc</t>
  </si>
  <si>
    <t>commandNeed</t>
  </si>
  <si>
    <t>strengthNeed</t>
  </si>
  <si>
    <t>commandAdd</t>
    <phoneticPr fontId="1" type="noConversion"/>
  </si>
  <si>
    <t>strengthAdd</t>
    <phoneticPr fontId="1" type="noConversion"/>
  </si>
  <si>
    <t>intelligenceAdd</t>
    <phoneticPr fontId="1" type="noConversion"/>
  </si>
  <si>
    <t>politicsAdd</t>
    <phoneticPr fontId="1" type="noConversion"/>
  </si>
  <si>
    <t>glamourAdd</t>
    <phoneticPr fontId="1" type="noConversion"/>
  </si>
  <si>
    <t>intelligenceNeed</t>
    <phoneticPr fontId="1" type="noConversion"/>
  </si>
  <si>
    <t>politicsNeed</t>
    <phoneticPr fontId="1" type="noConversion"/>
  </si>
  <si>
    <t>glamourNeed</t>
    <phoneticPr fontId="1" type="noConversion"/>
  </si>
  <si>
    <t>levelNeed</t>
    <phoneticPr fontId="1" type="noConversion"/>
  </si>
  <si>
    <t>增加统率</t>
    <phoneticPr fontId="1" type="noConversion"/>
  </si>
  <si>
    <t>描述</t>
    <phoneticPr fontId="1" type="noConversion"/>
  </si>
  <si>
    <t>增加武力</t>
    <phoneticPr fontId="1" type="noConversion"/>
  </si>
  <si>
    <t>增加智力</t>
    <phoneticPr fontId="1" type="noConversion"/>
  </si>
  <si>
    <t>增加政治</t>
    <phoneticPr fontId="1" type="noConversion"/>
  </si>
  <si>
    <t>增加魅力</t>
    <phoneticPr fontId="1" type="noConversion"/>
  </si>
  <si>
    <t>需求等级</t>
    <phoneticPr fontId="1" type="noConversion"/>
  </si>
  <si>
    <t>需求魅力</t>
    <phoneticPr fontId="1" type="noConversion"/>
  </si>
  <si>
    <t>需求政治</t>
    <phoneticPr fontId="1" type="noConversion"/>
  </si>
  <si>
    <t>需求智力</t>
    <phoneticPr fontId="1" type="noConversion"/>
  </si>
  <si>
    <t>需求武力</t>
    <phoneticPr fontId="1" type="noConversion"/>
  </si>
  <si>
    <t>需求统率</t>
    <phoneticPr fontId="1" type="noConversion"/>
  </si>
  <si>
    <t>addSkills</t>
  </si>
  <si>
    <t>addFeatures</t>
  </si>
  <si>
    <t>officialEffects</t>
  </si>
  <si>
    <t>增加的技能</t>
    <phoneticPr fontId="1" type="noConversion"/>
  </si>
  <si>
    <t>增加的特技</t>
    <phoneticPr fontId="1" type="noConversion"/>
  </si>
  <si>
    <t>str</t>
    <phoneticPr fontId="1" type="noConversion"/>
  </si>
  <si>
    <t>ai32</t>
    <phoneticPr fontId="1" type="noConversion"/>
  </si>
  <si>
    <t>aobj</t>
    <phoneticPr fontId="1" type="noConversion"/>
  </si>
  <si>
    <t>4500</t>
    <phoneticPr fontId="1" type="noConversion"/>
  </si>
  <si>
    <t>500</t>
    <phoneticPr fontId="1" type="noConversion"/>
  </si>
  <si>
    <t>书佐</t>
  </si>
  <si>
    <t>抄写文书，县府最低吏员（智力+3，政治+4，魅力+2）</t>
  </si>
  <si>
    <t>亭长</t>
  </si>
  <si>
    <t>掌一亭治安，缉捕盗贼，汉高祖曾任此职（智力+3，政治+4，魅力+2）</t>
  </si>
  <si>
    <t>里魁</t>
  </si>
  <si>
    <t>掌一里民事，百户之长（智力+3，政治+4，魅力+2）</t>
  </si>
  <si>
    <t>门亭长</t>
  </si>
  <si>
    <t>守县府门禁，传禀通报（智力+3，政治+4，魅力+2）</t>
  </si>
  <si>
    <t>啬夫</t>
  </si>
  <si>
    <t>掌一乡赋税诉讼，汉之乡官（智力+3，政治+4，魅力+2）</t>
  </si>
  <si>
    <t>伍长</t>
  </si>
  <si>
    <t>统领五人之长，兵制最基层（统率+1，武力+1）</t>
  </si>
  <si>
    <t>什长</t>
  </si>
  <si>
    <t>统领十人之长，辖二伍（统率+1，武力+1）</t>
  </si>
  <si>
    <t>斥候</t>
  </si>
  <si>
    <t>侦察敌情地形，传递军情（统率+1，武力+1）</t>
  </si>
  <si>
    <t>主记室史</t>
  </si>
  <si>
    <t>掌县府文书起草记录（智力+3，政治+4，魅力+2）</t>
  </si>
  <si>
    <t>令史</t>
  </si>
  <si>
    <t>县府文书吏，辅助主记（智力+3，政治+4，魅力+2）</t>
  </si>
  <si>
    <t>功曹史</t>
  </si>
  <si>
    <t>掌县吏考课与选署（智力+3，政治+4，魅力+2）</t>
  </si>
  <si>
    <t>户曹史</t>
  </si>
  <si>
    <t>掌一县户籍赋税徭役（智力+3，政治+4，魅力+2）</t>
  </si>
  <si>
    <t>贼曹史</t>
  </si>
  <si>
    <t>掌一县缉捕盗贼治安（智力+3，政治+4，魅力+2）</t>
  </si>
  <si>
    <t>队率</t>
  </si>
  <si>
    <t>统领一队，约五十人（统率+1，武力+1）</t>
  </si>
  <si>
    <t>屯长</t>
  </si>
  <si>
    <t>统领一屯，约百人（统率+1，武力+1）</t>
  </si>
  <si>
    <t>游徼</t>
  </si>
  <si>
    <t>巡查乡里，缉捕奸盗（统率+1，武力+1）</t>
  </si>
  <si>
    <t>县丞</t>
  </si>
  <si>
    <t>县令之副贰，佐理一县政务（智力+4，政治+5，魅力+3）</t>
  </si>
  <si>
    <t>掌一县文书机要，亲近之职（智力+4，政治+5，魅力+3）</t>
  </si>
  <si>
    <t>功曹掾</t>
  </si>
  <si>
    <t>铨选县吏，考核功过，县之重职（智力+4，政治+5，魅力+3）</t>
  </si>
  <si>
    <t>仓曹掾</t>
  </si>
  <si>
    <t>掌粮仓出入及仓储管理（智力+4，政治+5，魅力+3）</t>
  </si>
  <si>
    <t>金曹掾</t>
  </si>
  <si>
    <t>掌钱谷收支市租赋税（智力+4，政治+5，魅力+3）</t>
  </si>
  <si>
    <t>军候</t>
  </si>
  <si>
    <t>统领一曲，约五百人（统率+2，武力+2，智力+1，魅力+1）</t>
  </si>
  <si>
    <t>假候</t>
  </si>
  <si>
    <t>军候之副贰，佐领一曲（统率+2，武力+2，智力+1，魅力+1）</t>
  </si>
  <si>
    <t>军正</t>
  </si>
  <si>
    <t>掌军中法令监察（统率+2，武力+2，智力+1，魅力+1）</t>
  </si>
  <si>
    <t>县令</t>
  </si>
  <si>
    <t>万户以上大县之长，秩千石（智力+4，政治+5，魅力+3）</t>
  </si>
  <si>
    <t>县长</t>
  </si>
  <si>
    <t>万户以下小县之长，秩四百石（智力+4，政治+5，魅力+3）</t>
  </si>
  <si>
    <t>督邮</t>
  </si>
  <si>
    <t>郡府派驻监察诸县之官（智力+4，政治+5，魅力+3）</t>
  </si>
  <si>
    <t>五官掾</t>
  </si>
  <si>
    <t>掌祭祀及诸曹统筹（智力+4，政治+5，魅力+3）</t>
  </si>
  <si>
    <t>文学掾</t>
  </si>
  <si>
    <t>掌教化学校及儒学（智力+4，政治+5，魅力+3）</t>
  </si>
  <si>
    <t>掌一郡军事，秩比二千石，汉之郡尉（统率+2，武力+2，智力+1，魅力+1）</t>
  </si>
  <si>
    <t>别部司马</t>
  </si>
  <si>
    <t>别领一营之军司马，独立统兵（统率+2，武力+2，智力+1，魅力+1）</t>
  </si>
  <si>
    <t>骑司马</t>
  </si>
  <si>
    <t>掌骑兵之军司马（统率+2，武力+2，智力+1，魅力+1）</t>
  </si>
  <si>
    <t>郡丞</t>
  </si>
  <si>
    <t>郡守副贰，总揽郡府庶务（统率+1，智力+5，政治+6，魅力+4）</t>
  </si>
  <si>
    <t>郡功曹</t>
  </si>
  <si>
    <t>主郡吏铨选考核，郡之右职（统率+1，智力+5，政治+6，魅力+4）</t>
  </si>
  <si>
    <t>郡主簿</t>
  </si>
  <si>
    <t>掌郡府文书机要及印信（统率+1，智力+5，政治+6，魅力+4）</t>
  </si>
  <si>
    <t>治中从事</t>
  </si>
  <si>
    <t>州刺史属官，居中治事（统率+1，智力+5，政治+6，魅力+4）</t>
  </si>
  <si>
    <t>议曹从事</t>
  </si>
  <si>
    <t>参议政事，备顾问应对（统率+1，智力+5，政治+6，魅力+4）</t>
  </si>
  <si>
    <t>校尉</t>
  </si>
  <si>
    <t>掌一营兵马，约千人，秩比二千石（统率+3，武力+3，智力+2，政治+1，魅力+2）</t>
  </si>
  <si>
    <t>军司马</t>
  </si>
  <si>
    <t>校尉之副，掌一部军务（统率+3，武力+3，智力+2，政治+1，魅力+2）</t>
  </si>
  <si>
    <t>假司马</t>
  </si>
  <si>
    <t>军司马之副贰，佐领军务（统率+3，武力+3，智力+2，政治+1，魅力+2）</t>
  </si>
  <si>
    <t>郡太守</t>
  </si>
  <si>
    <t>一郡之长，治民进贤，秩二千石（统率+1，智力+5，政治+6，魅力+4）</t>
  </si>
  <si>
    <t>郡长史</t>
  </si>
  <si>
    <t>边郡设长史掌兵马，秩六百石（统率+1，智力+5，政治+6，魅力+4）</t>
  </si>
  <si>
    <t>郡尉</t>
  </si>
  <si>
    <t>大郡置尉分治诸县军事（统率+1，智力+5，政治+6，魅力+4）</t>
  </si>
  <si>
    <t>盐官长</t>
  </si>
  <si>
    <t>掌盐铁专卖，汉之重要财源（统率+1，智力+5，政治+6，魅力+4）</t>
  </si>
  <si>
    <t>铁官长</t>
  </si>
  <si>
    <t>掌铁冶铸器，汉之官营工官（统率+1，智力+5，政治+6，魅力+4）</t>
  </si>
  <si>
    <t>中郎将</t>
  </si>
  <si>
    <t>统领诸郎宿卫，秩比二千石（统率+3，武力+3，智力+2，政治+1，魅力+2）</t>
  </si>
  <si>
    <t>骑都尉</t>
  </si>
  <si>
    <t>掌羽林骑兵，秩比二千石（统率+3，武力+3，智力+2，政治+1，魅力+2）</t>
  </si>
  <si>
    <t>奉车都尉</t>
  </si>
  <si>
    <t>掌御乘舆车，秩比二千石（统率+3，武力+3，智力+2，政治+1，魅力+2）</t>
  </si>
  <si>
    <t>州治中从事</t>
  </si>
  <si>
    <t>州刺史首辅，居中治州事（统率+2，武力+1，智力+6，政治+7，魅力+5）</t>
  </si>
  <si>
    <t>州别驾从事</t>
  </si>
  <si>
    <t>州牧副手，出巡别乘传车（统率+2，武力+1，智力+6，政治+7，魅力+5）</t>
  </si>
  <si>
    <t>州主簿</t>
  </si>
  <si>
    <t>掌州府文书机要（统率+2，武力+1，智力+6，政治+7，魅力+5）</t>
  </si>
  <si>
    <t>州功曹从事</t>
  </si>
  <si>
    <t>铨选州吏，掌州人事（统率+2，武力+1，智力+6，政治+7，魅力+5）</t>
  </si>
  <si>
    <t>典农都尉</t>
  </si>
  <si>
    <t>掌屯田农事，汉末置（统率+2，武力+1，智力+6，政治+7，魅力+5）</t>
  </si>
  <si>
    <t>度辽将军</t>
  </si>
  <si>
    <t>镇守辽东北境（统率+4，武力+6，智力+3，政治+2，魅力+3）</t>
  </si>
  <si>
    <t>护羌校尉</t>
  </si>
  <si>
    <t>监护西羌诸部（统率+4，武力+6，智力+3，政治+2，魅力+3）</t>
  </si>
  <si>
    <t>护乌桓校尉</t>
  </si>
  <si>
    <t>监护乌桓诸部（统率+4，武力+6，智力+3，政治+2，魅力+3）</t>
  </si>
  <si>
    <t>使匈奴中郎将</t>
  </si>
  <si>
    <t>出使监护南匈奴（统率+4，武力+6，智力+3，政治+2，魅力+3）</t>
  </si>
  <si>
    <t>州刺史</t>
  </si>
  <si>
    <t>一州监察，秩六百石，纠察郡国（统率+2，武力+1，智力+6，政治+7，魅力+5）</t>
  </si>
  <si>
    <t>州牧</t>
  </si>
  <si>
    <t>一州军政长官，秩中二千石，汉末置（统率+2，武力+1，智力+6，政治+7，魅力+5）</t>
  </si>
  <si>
    <t>持节使</t>
  </si>
  <si>
    <t>持节出使督察四方（统率+2，武力+1，智力+6，政治+7，魅力+5）</t>
  </si>
  <si>
    <t>刺史从事</t>
  </si>
  <si>
    <t>刺史属官，分管诸曹（统率+2，武力+1，智力+6，政治+7，魅力+5）</t>
  </si>
  <si>
    <t>都水长</t>
  </si>
  <si>
    <t>掌水利河渠堤防（统率+2，武力+1，智力+6，政治+7，魅力+5）</t>
  </si>
  <si>
    <t>平定西疆诸郡（统率+4，武力+6，智力+3，政治+2，魅力+3）</t>
  </si>
  <si>
    <t>平定东方诸郡（统率+4，武力+6，智力+3，政治+2，魅力+3）</t>
  </si>
  <si>
    <t>平定南土诸郡（统率+4，武力+6，智力+3，政治+2，魅力+3）</t>
  </si>
  <si>
    <t>平定北疆诸郡（统率+4，武力+6，智力+3，政治+2，魅力+3）</t>
  </si>
  <si>
    <t>尚书仆射</t>
  </si>
  <si>
    <t>尚书令之副，参决政务机要，秩六百石（统率+3，武力+2，智力+7，政治+8，魅力+6）</t>
  </si>
  <si>
    <t>侍从天子左右，备顾问，秩比二千石（统率+3，武力+2，智力+7，政治+8，魅力+6）</t>
  </si>
  <si>
    <t>中常侍</t>
  </si>
  <si>
    <t>内廷侍从，传达诏命，秩千石（统率+3，武力+2，智力+7，政治+8，魅力+6）</t>
  </si>
  <si>
    <t>给事中</t>
  </si>
  <si>
    <t>随侍内朝，评驳奏章（统率+3，武力+2，智力+7，政治+8，魅力+6）</t>
  </si>
  <si>
    <t>御史大夫之副，纠察百官，秩千石（统率+3，武力+2，智力+7，政治+8，魅力+6）</t>
  </si>
  <si>
    <t>镇守凉州及西域（统率+6，武力+7，智力+5，政治+3，魅力+4）</t>
  </si>
  <si>
    <t>镇守青徐扬诸郡（统率+6，武力+7，智力+5，政治+3，魅力+4）</t>
  </si>
  <si>
    <t>镇守荆襄江汉（统率+6，武力+7，智力+5，政治+3，魅力+4）</t>
  </si>
  <si>
    <t>镇守幽并河北（统率+6，武力+7，智力+5，政治+3，魅力+4）</t>
  </si>
  <si>
    <t>尚书台之长，总揽政务，秩千石（统率+3，武力+2，智力+7，政治+8，魅力+6）</t>
  </si>
  <si>
    <t>掌宫殿宿卫及郎官选署，秩中二千石（统率+3，武力+2，智力+7，政治+8，魅力+6）</t>
  </si>
  <si>
    <t>掌天子车马及厩牧，秩中二千石（统率+3，武力+2，智力+7，政治+8，魅力+6）</t>
  </si>
  <si>
    <t>掌诸侯王及四夷朝贡宾客，秩中二千石（统率+3，武力+2，智力+7，政治+8，魅力+6）</t>
  </si>
  <si>
    <t>掌全国财政钱谷赋税，秩中二千石（统率+3，武力+2，智力+7，政治+8，魅力+6）</t>
  </si>
  <si>
    <t>掌皇室财政山海池泽之税，秩中二千石（统率+3，武力+2，智力+7，政治+8，魅力+6）</t>
  </si>
  <si>
    <t>征讨西方之统帅（统率+6，武力+7，智力+5，政治+3，魅力+4）</t>
  </si>
  <si>
    <t>征讨东方之统帅（统率+6，武力+7，智力+5，政治+3，魅力+4）</t>
  </si>
  <si>
    <t>征讨南方之统帅（统率+6，武力+7，智力+5，政治+3，魅力+4）</t>
  </si>
  <si>
    <t>征讨北方之统帅（统率+6，武力+7，智力+5，政治+3，魅力+4）</t>
  </si>
  <si>
    <t>掌宗庙礼仪祭祀，九卿之首，秩中二千石（统率+4，武力+3，智力+8，政治+9，魅力+7）</t>
  </si>
  <si>
    <t>掌宫门屯卫兵，秩中二千石（统率+4，武力+3，智力+8，政治+9，魅力+7）</t>
  </si>
  <si>
    <t>掌刑狱律法，天下刑名之总，秩中二千石（统率+4，武力+3，智力+8，政治+9，魅力+7）</t>
  </si>
  <si>
    <t>宗正</t>
  </si>
  <si>
    <t>掌皇族宗室属籍，秩中二千石（统率+4，武力+3，智力+8，政治+9，魅力+7）</t>
  </si>
  <si>
    <t>掌京师巡察治安，秩中二千石（统率+4，武力+3，智力+8，政治+9，魅力+7）</t>
  </si>
  <si>
    <t>将作大匠</t>
  </si>
  <si>
    <t>掌宫室陵寝营造修缮，秩二千石（统率+4，武力+3，智力+8，政治+9，魅力+7）</t>
  </si>
  <si>
    <t>四军将军之首，主征伐（统率+7，武力+8，智力+6，政治+4，魅力+5）</t>
  </si>
  <si>
    <t>四军之殿，主镇守（统率+7，武力+8，智力+6，政治+4，魅力+5）</t>
  </si>
  <si>
    <t>四军之左翼统帅（统率+7，武力+8，智力+6，政治+4，魅力+5）</t>
  </si>
  <si>
    <t>四军之右翼统帅（统率+7，武力+8，智力+6，政治+4，魅力+5）</t>
  </si>
  <si>
    <t>三公之首，掌四方兵事，秩万石（统率+4，武力+3，智力+8，政治+9，魅力+7）</t>
  </si>
  <si>
    <t>三公之二，掌教化民政，秩万石（统率+4，武力+3，智力+8，政治+9，魅力+7）</t>
  </si>
  <si>
    <t>三公之三，掌水土工程，秩万石（统率+4，武力+3，智力+8，政治+9，魅力+7）</t>
  </si>
  <si>
    <t>司隶校尉</t>
  </si>
  <si>
    <t>督察三辅三河弘农，持节，秩比二千石（统率+4，武力+3，智力+8，政治+9，魅力+7）</t>
  </si>
  <si>
    <t>太子太傅</t>
  </si>
  <si>
    <t>太子之师，掌辅导太子，秩二千石（统率+4，武力+3，智力+8，政治+9，魅力+7）</t>
  </si>
  <si>
    <t>重号将军，统战车骑兵，秩万石（统率+7，武力+8，智力+6，政治+4，魅力+5）</t>
  </si>
  <si>
    <t>重号将军，统骠骑劲旅，秩万石（统率+7，武力+8，智力+6，政治+4，魅力+5）</t>
  </si>
  <si>
    <t>重号将军，总领京师宿卫，秩万石（统率+7，武力+8，智力+6，政治+4，魅力+5）</t>
  </si>
  <si>
    <t>护军将军</t>
  </si>
  <si>
    <t>掌监诸军，典武选，汉末置（统率+7，武力+8，智力+6，政治+4，魅力+5）</t>
  </si>
  <si>
    <t>太师</t>
  </si>
  <si>
    <t>天子之师，上公之首，位在三公上（统率+5，武力+4，智力+9，政治+10，魅力+8）</t>
  </si>
  <si>
    <t>太傅</t>
  </si>
  <si>
    <t>天子辅弼，上公之二，位在三公上（统率+5，武力+4，智力+9，政治+10，魅力+8）</t>
  </si>
  <si>
    <t>太保</t>
  </si>
  <si>
    <t>保育天子，上公之三，位在三公上（统率+5，武力+4，智力+9，政治+10，魅力+8）</t>
  </si>
  <si>
    <t>丞相长史</t>
  </si>
  <si>
    <t>丞相府诸吏之长，参赞万机，秩千石（统率+5，武力+4，智力+9，政治+10，魅力+8）</t>
  </si>
  <si>
    <t>御史大夫</t>
  </si>
  <si>
    <t>副丞相，掌监察弹劾，秩万石（统率+5，武力+4，智力+9，政治+10，魅力+8）</t>
  </si>
  <si>
    <t>大将军</t>
  </si>
  <si>
    <t>最高武职，统天下兵马，位在三公上（统率+8，武力+9，智力+7，政治+5，魅力+6）</t>
  </si>
  <si>
    <t>大司马</t>
  </si>
  <si>
    <t>掌武事军事，冠于诸将军之上（统率+8，武力+9，智力+7，政治+5，魅力+6）</t>
  </si>
  <si>
    <t>度辽大将军</t>
  </si>
  <si>
    <t>统北境诸军，镇守边疆（统率+8，武力+9，智力+7，政治+5，魅力+6）</t>
  </si>
  <si>
    <t>辅国将军</t>
  </si>
  <si>
    <t>辅弼国政，汉末重号（统率+8，武力+9，智力+7，政治+5，魅力+6）</t>
  </si>
  <si>
    <t>百官之长，总揽朝政，秩万石（统率+5，武力+4，智力+9，政治+10，魅力+8）</t>
  </si>
  <si>
    <t>相国</t>
  </si>
  <si>
    <t>尊于丞相，权倾朝野，汉初置后复置（统率+5，武力+4，智力+9，政治+10，魅力+8）</t>
  </si>
  <si>
    <t>录尚书事</t>
  </si>
  <si>
    <t>总领尚书台，裁决万机，东汉末置（统率+5，武力+4，智力+9，政治+10，魅力+8）</t>
  </si>
  <si>
    <t>假节</t>
  </si>
  <si>
    <t>持节督军，得斩违令者（统率+5，武力+4，智力+9，政治+10，魅力+8）</t>
  </si>
  <si>
    <t>光禄大夫</t>
  </si>
  <si>
    <t>顾问应对，秩比二千石，加官之重（统率+5，武力+4，智力+9，政治+10，魅力+8）</t>
  </si>
  <si>
    <t>掌议论讽谏，秩六百石（统率+5，武力+4，智力+9，政治+10，魅力+8）</t>
  </si>
  <si>
    <t>骠骑大将军</t>
  </si>
  <si>
    <t>骠骑之极，位次丞相（统率+8，武力+9，智力+7，政治+5，魅力+6）</t>
  </si>
  <si>
    <t>车骑大将军</t>
  </si>
  <si>
    <t>车骑之极，仪同三公（统率+8，武力+9，智力+7，政治+5，魅力+6）</t>
  </si>
  <si>
    <t>卫大将军</t>
  </si>
  <si>
    <t>宿卫之极，总领诸卫（统率+8，武力+9，智力+7，政治+5，魅力+6）</t>
  </si>
  <si>
    <t>大将军(辅政)</t>
  </si>
  <si>
    <t>辅佐天子，权兼内外（统率+8，武力+9，智力+7，政治+5，魅力+6）</t>
  </si>
  <si>
    <t>上公</t>
  </si>
  <si>
    <t>人臣之极，位在三公之上（统率+6，武力+5，智力+10，政治+10，魅力+9）</t>
  </si>
  <si>
    <t>丞相(开府)</t>
  </si>
  <si>
    <t>开府置官属，总百揆（统率+6，武力+5，智力+10，政治+10，魅力+9）</t>
  </si>
  <si>
    <t>大司马(辅政)</t>
  </si>
  <si>
    <t>辅政大司马，权同三公（统率+6，武力+5，智力+10，政治+10，魅力+9）</t>
  </si>
  <si>
    <t>太傅(录尚书事)</t>
  </si>
  <si>
    <t>上公兼录尚书事，总揽万机（统率+6，武力+5，智力+10，政治+10，魅力+9）</t>
  </si>
  <si>
    <t>大将军(录尚书事)</t>
  </si>
  <si>
    <t>大将军兼录尚书，军政大权一身（统率+9，武力+10，智力+8，政治+6，魅力+7）</t>
  </si>
  <si>
    <t>大将军(都督中外)</t>
  </si>
  <si>
    <t>都督中外诸军事，天下兵马之帅（统率+9，武力+10，智力+8，政治+6，魅力+7）</t>
  </si>
  <si>
    <t>大司马(都督中外)</t>
  </si>
  <si>
    <t>大司马都督中外，冠三军之首（统率+9，武力+10，智力+8，政治+6，魅力+7）</t>
  </si>
  <si>
    <t>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</si>
</sst>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Y85"/>
  <sheetViews>
    <sheetView topLeftCell="A55" zoomScale="82" zoomScaleNormal="82" workbookViewId="0">
      <selection activeCell="I12" sqref="I12"/>
    </sheetView>
  </sheetViews>
  <sheetFormatPr defaultColWidth="9" defaultRowHeight="13.5" x14ac:dyDescent="0.15"/>
  <cols>
    <col min="1" max="1" width="6.375" style="2" bestFit="1" customWidth="1"/>
    <col min="2" max="2" width="5.75" style="2" bestFit="1" customWidth="1"/>
    <col min="3" max="3" width="9.125" style="2" bestFit="1" customWidth="1"/>
    <col min="4" max="4" width="13.25" style="2" bestFit="1" customWidth="1"/>
    <col min="5" max="5" width="9.875" style="2" customWidth="1"/>
    <col min="6" max="6" width="7.375" style="2" bestFit="1" customWidth="1"/>
    <col min="7" max="7" width="12.875" style="2" bestFit="1" customWidth="1"/>
    <col min="8" max="8" width="14.125" style="2" bestFit="1" customWidth="1"/>
    <col min="9" max="9" width="15.25" style="2" bestFit="1" customWidth="1"/>
    <col min="10" max="10" width="20.125" style="2" bestFit="1" customWidth="1"/>
    <col min="11" max="11" width="16.5" style="2" bestFit="1" customWidth="1"/>
    <col min="12" max="12" width="15.25" style="2" bestFit="1" customWidth="1"/>
    <col min="13" max="14" width="15.25" style="2" customWidth="1"/>
    <col min="15" max="15" width="18.875" style="2" bestFit="1" customWidth="1"/>
    <col min="16" max="17" width="14.125" style="2" bestFit="1" customWidth="1"/>
    <col min="18" max="18" width="15.25" style="2" bestFit="1" customWidth="1"/>
    <col min="19" max="19" width="20.125" style="2" bestFit="1" customWidth="1"/>
    <col min="20" max="20" width="16.5" style="2" bestFit="1" customWidth="1"/>
    <col min="21" max="21" width="15.25" style="2" bestFit="1" customWidth="1"/>
    <col min="22" max="22" width="12.875" style="2" bestFit="1" customWidth="1"/>
    <col min="23" max="16384" width="9" style="2"/>
  </cols>
  <sheetData>
    <row r="1" spans="1:25" s="10" customFormat="1" ht="59.25" customHeight="1" x14ac:dyDescent="0.15">
      <c r="A1" s="12"/>
      <c r="B1" s="9" t="s">
        <v>3</v>
      </c>
      <c r="C1" s="9" t="s">
        <v>4</v>
      </c>
      <c r="D1" s="13" t="s">
        <v>5</v>
      </c>
      <c r="E1" s="9" t="s">
        <v>6</v>
      </c>
      <c r="F1" s="13" t="s">
        <v>7</v>
      </c>
      <c r="G1" s="13" t="s">
        <v>8</v>
      </c>
      <c r="H1" s="13" t="s">
        <v>190</v>
      </c>
      <c r="I1" s="13" t="s">
        <v>192</v>
      </c>
      <c r="J1" s="13" t="s">
        <v>193</v>
      </c>
      <c r="K1" s="13" t="s">
        <v>194</v>
      </c>
      <c r="L1" s="13" t="s">
        <v>195</v>
      </c>
      <c r="M1" s="13" t="s">
        <v>205</v>
      </c>
      <c r="N1" s="13" t="s">
        <v>206</v>
      </c>
      <c r="O1" s="13"/>
      <c r="P1" s="13" t="s">
        <v>191</v>
      </c>
      <c r="Q1" s="13" t="s">
        <v>201</v>
      </c>
      <c r="R1" s="13" t="s">
        <v>200</v>
      </c>
      <c r="S1" s="13" t="s">
        <v>199</v>
      </c>
      <c r="T1" s="13" t="s">
        <v>198</v>
      </c>
      <c r="U1" s="13" t="s">
        <v>197</v>
      </c>
      <c r="V1" s="9" t="s">
        <v>196</v>
      </c>
      <c r="W1" s="7"/>
      <c r="X1" s="9"/>
      <c r="Y1" s="7"/>
    </row>
    <row r="2" spans="1:25" s="1" customFormat="1" ht="25.5" customHeight="1" x14ac:dyDescent="0.15">
      <c r="A2" s="1" t="s">
        <v>0</v>
      </c>
      <c r="B2" s="2"/>
      <c r="C2" s="2"/>
      <c r="D2"/>
      <c r="E2" s="2"/>
      <c r="F2"/>
      <c r="G2"/>
      <c r="H2"/>
      <c r="I2" s="2"/>
      <c r="J2" s="2"/>
      <c r="K2" s="2"/>
      <c r="L2" s="2"/>
      <c r="M2" s="2"/>
      <c r="N2" s="2"/>
      <c r="O2" s="2"/>
      <c r="P2"/>
      <c r="Q2"/>
      <c r="R2" s="2"/>
      <c r="S2" s="2"/>
      <c r="T2" s="2"/>
      <c r="U2" s="2"/>
      <c r="V2" s="2"/>
      <c r="W2" s="2"/>
      <c r="X2" s="2"/>
      <c r="Y2" s="2"/>
    </row>
    <row r="3" spans="1:25" s="5" customFormat="1" ht="33" customHeight="1" x14ac:dyDescent="0.15">
      <c r="A3" s="5" t="s">
        <v>1</v>
      </c>
      <c r="B3" s="8" t="s">
        <v>90</v>
      </c>
      <c r="C3" s="8" t="s">
        <v>2</v>
      </c>
      <c r="D3" s="8" t="s">
        <v>91</v>
      </c>
      <c r="E3" s="8" t="s">
        <v>94</v>
      </c>
      <c r="F3" s="8" t="s">
        <v>95</v>
      </c>
      <c r="G3" s="8" t="s">
        <v>92</v>
      </c>
      <c r="H3" s="8" t="s">
        <v>181</v>
      </c>
      <c r="I3" s="8" t="s">
        <v>182</v>
      </c>
      <c r="J3" s="8" t="s">
        <v>183</v>
      </c>
      <c r="K3" s="8" t="s">
        <v>184</v>
      </c>
      <c r="L3" s="8" t="s">
        <v>185</v>
      </c>
      <c r="M3" s="8" t="s">
        <v>202</v>
      </c>
      <c r="N3" s="8" t="s">
        <v>203</v>
      </c>
      <c r="O3" s="8" t="s">
        <v>204</v>
      </c>
      <c r="P3" s="8" t="s">
        <v>178</v>
      </c>
      <c r="Q3" s="8" t="s">
        <v>179</v>
      </c>
      <c r="R3" s="8" t="s">
        <v>180</v>
      </c>
      <c r="S3" s="8" t="s">
        <v>186</v>
      </c>
      <c r="T3" s="8" t="s">
        <v>187</v>
      </c>
      <c r="U3" s="8" t="s">
        <v>188</v>
      </c>
      <c r="V3" s="8" t="s">
        <v>189</v>
      </c>
      <c r="W3" s="8"/>
      <c r="X3" s="8"/>
      <c r="Y3" s="8"/>
    </row>
    <row r="4" spans="1:25" s="11" customFormat="1" ht="15.75" customHeight="1" x14ac:dyDescent="0.15">
      <c r="A4" s="5" t="s">
        <v>1</v>
      </c>
      <c r="B4" s="11" t="s">
        <v>176</v>
      </c>
      <c r="C4" s="11" t="s">
        <v>207</v>
      </c>
      <c r="D4" s="14" t="s">
        <v>176</v>
      </c>
      <c r="E4" s="14" t="s">
        <v>176</v>
      </c>
      <c r="F4" s="14" t="s">
        <v>176</v>
      </c>
      <c r="G4" s="14" t="s">
        <v>176</v>
      </c>
      <c r="H4" s="14" t="s">
        <v>176</v>
      </c>
      <c r="I4" s="14" t="s">
        <v>176</v>
      </c>
      <c r="J4" s="14" t="s">
        <v>176</v>
      </c>
      <c r="K4" s="14" t="s">
        <v>176</v>
      </c>
      <c r="L4" s="14" t="s">
        <v>176</v>
      </c>
      <c r="M4" s="11" t="s">
        <v>208</v>
      </c>
      <c r="N4" s="11" t="s">
        <v>208</v>
      </c>
      <c r="O4" s="11" t="s">
        <v>209</v>
      </c>
      <c r="P4" s="14" t="s">
        <v>207</v>
      </c>
      <c r="Q4" s="14" t="s">
        <v>176</v>
      </c>
      <c r="R4" s="14" t="s">
        <v>176</v>
      </c>
      <c r="S4" s="14" t="s">
        <v>176</v>
      </c>
      <c r="T4" s="14" t="s">
        <v>176</v>
      </c>
      <c r="U4" s="14" t="s">
        <v>176</v>
      </c>
      <c r="V4" s="14" t="s">
        <v>176</v>
      </c>
    </row>
    <row r="5" spans="1:25" x14ac:dyDescent="0.15">
      <c r="B5" s="2" t="s">
        <v>93</v>
      </c>
      <c r="C5" s="2" t="s">
        <v>89</v>
      </c>
      <c r="D5" s="2">
        <v>5000</v>
      </c>
      <c r="E5" s="2">
        <v>5</v>
      </c>
      <c r="F5" s="2">
        <v>10</v>
      </c>
      <c r="G5" s="2" t="s">
        <v>177</v>
      </c>
    </row>
    <row r="6" spans="1:25" x14ac:dyDescent="0.15">
      <c r="B6" s="2" t="s">
        <v>96</v>
      </c>
      <c r="C6" s="2" t="s">
        <v>88</v>
      </c>
      <c r="D6" s="2">
        <v>6000</v>
      </c>
      <c r="E6" s="2">
        <v>10</v>
      </c>
      <c r="F6" s="2">
        <v>9</v>
      </c>
      <c r="G6" s="2">
        <v>4000</v>
      </c>
      <c r="H6" s="4"/>
      <c r="I6" s="4"/>
      <c r="K6" s="4"/>
      <c r="L6" s="4"/>
      <c r="M6" s="4"/>
      <c r="N6" s="4"/>
      <c r="O6" s="4"/>
      <c r="P6" s="4"/>
      <c r="Q6" s="4"/>
      <c r="R6" s="4"/>
      <c r="T6" s="4"/>
      <c r="U6" s="4"/>
      <c r="V6" s="4"/>
      <c r="X6" s="4"/>
    </row>
    <row r="7" spans="1:25" x14ac:dyDescent="0.15">
      <c r="A7" s="3"/>
      <c r="B7" s="2" t="s">
        <v>97</v>
      </c>
      <c r="C7" s="2" t="s">
        <v>87</v>
      </c>
      <c r="D7" s="2">
        <v>6000</v>
      </c>
      <c r="E7" s="2">
        <v>10</v>
      </c>
      <c r="F7" s="2">
        <v>9</v>
      </c>
      <c r="G7" s="2">
        <v>4000</v>
      </c>
      <c r="H7" s="4"/>
      <c r="I7" s="4"/>
      <c r="K7" s="4"/>
      <c r="L7" s="4"/>
      <c r="M7" s="4"/>
      <c r="N7" s="4"/>
      <c r="O7" s="4"/>
      <c r="P7" s="4"/>
      <c r="Q7" s="4"/>
      <c r="R7" s="4"/>
      <c r="T7" s="4"/>
      <c r="U7" s="4"/>
      <c r="V7" s="4"/>
      <c r="X7" s="4"/>
    </row>
    <row r="8" spans="1:25" x14ac:dyDescent="0.15">
      <c r="B8" s="2" t="s">
        <v>98</v>
      </c>
      <c r="C8" s="2" t="s">
        <v>86</v>
      </c>
      <c r="D8" s="2">
        <v>6000</v>
      </c>
      <c r="E8" s="2">
        <v>10</v>
      </c>
      <c r="F8" s="2">
        <v>9</v>
      </c>
      <c r="G8" s="2">
        <v>4000</v>
      </c>
      <c r="H8" s="4"/>
      <c r="I8" s="4"/>
      <c r="K8" s="4"/>
      <c r="L8" s="4"/>
      <c r="M8" s="4"/>
      <c r="N8" s="4"/>
      <c r="O8" s="4"/>
      <c r="P8" s="4"/>
      <c r="Q8" s="4"/>
      <c r="R8" s="4"/>
      <c r="T8" s="4"/>
      <c r="U8" s="4"/>
      <c r="V8" s="4"/>
      <c r="X8" s="4"/>
    </row>
    <row r="9" spans="1:25" x14ac:dyDescent="0.15">
      <c r="B9" s="2" t="s">
        <v>99</v>
      </c>
      <c r="C9" s="2" t="s">
        <v>85</v>
      </c>
      <c r="D9" s="2">
        <v>6000</v>
      </c>
      <c r="E9" s="2">
        <v>10</v>
      </c>
      <c r="F9" s="2">
        <v>9</v>
      </c>
      <c r="G9" s="2">
        <v>4000</v>
      </c>
      <c r="H9" s="4"/>
      <c r="I9" s="4"/>
      <c r="K9" s="4"/>
      <c r="L9" s="4"/>
      <c r="M9" s="4"/>
      <c r="N9" s="4"/>
      <c r="O9" s="4"/>
      <c r="P9" s="4"/>
      <c r="Q9" s="4"/>
      <c r="R9" s="4"/>
      <c r="T9" s="4"/>
      <c r="U9" s="4"/>
      <c r="V9" s="4"/>
      <c r="X9" s="4"/>
    </row>
    <row r="10" spans="1:25" x14ac:dyDescent="0.15">
      <c r="B10" s="2" t="s">
        <v>100</v>
      </c>
      <c r="C10" s="2" t="s">
        <v>84</v>
      </c>
      <c r="D10" s="2">
        <v>6000</v>
      </c>
      <c r="E10" s="2">
        <v>10</v>
      </c>
      <c r="F10" s="2">
        <v>9</v>
      </c>
      <c r="G10" s="2">
        <v>4000</v>
      </c>
      <c r="H10" s="4"/>
      <c r="I10" s="4"/>
      <c r="K10" s="4"/>
      <c r="L10" s="4"/>
      <c r="M10" s="4"/>
      <c r="N10" s="4"/>
      <c r="O10" s="4"/>
      <c r="P10" s="4"/>
      <c r="Q10" s="4"/>
      <c r="R10" s="4"/>
      <c r="T10" s="4"/>
      <c r="U10" s="4"/>
      <c r="V10" s="4"/>
      <c r="X10" s="4"/>
    </row>
    <row r="11" spans="1:25" x14ac:dyDescent="0.15">
      <c r="B11" s="2" t="s">
        <v>101</v>
      </c>
      <c r="C11" s="2" t="s">
        <v>83</v>
      </c>
      <c r="D11" s="2">
        <v>6000</v>
      </c>
      <c r="E11" s="2">
        <v>10</v>
      </c>
      <c r="F11" s="2">
        <v>9</v>
      </c>
      <c r="G11" s="2">
        <v>4000</v>
      </c>
      <c r="H11" s="4"/>
      <c r="I11" s="4"/>
      <c r="K11" s="4"/>
      <c r="L11" s="4"/>
      <c r="M11" s="4"/>
      <c r="N11" s="4"/>
      <c r="O11" s="4"/>
      <c r="P11" s="4"/>
      <c r="Q11" s="4"/>
      <c r="R11" s="4"/>
      <c r="T11" s="4"/>
      <c r="U11" s="4"/>
      <c r="V11" s="4"/>
      <c r="X11" s="4"/>
    </row>
    <row r="12" spans="1:25" x14ac:dyDescent="0.15">
      <c r="B12" s="2" t="s">
        <v>102</v>
      </c>
      <c r="C12" s="2" t="s">
        <v>82</v>
      </c>
      <c r="D12" s="2">
        <v>6000</v>
      </c>
      <c r="E12" s="2">
        <v>10</v>
      </c>
      <c r="F12" s="2">
        <v>9</v>
      </c>
      <c r="G12" s="2">
        <v>4000</v>
      </c>
      <c r="H12" s="4"/>
      <c r="I12" s="4"/>
      <c r="K12" s="4"/>
      <c r="L12" s="4"/>
      <c r="M12" s="4"/>
      <c r="N12" s="4"/>
      <c r="O12" s="4"/>
      <c r="P12" s="4"/>
      <c r="Q12" s="4"/>
      <c r="R12" s="4"/>
      <c r="T12" s="4"/>
      <c r="U12" s="4"/>
      <c r="V12" s="4"/>
      <c r="X12" s="4"/>
    </row>
    <row r="13" spans="1:25" x14ac:dyDescent="0.15">
      <c r="B13" s="2" t="s">
        <v>103</v>
      </c>
      <c r="C13" s="2" t="s">
        <v>81</v>
      </c>
      <c r="D13" s="2">
        <v>6000</v>
      </c>
      <c r="E13" s="2">
        <v>10</v>
      </c>
      <c r="F13" s="2">
        <v>9</v>
      </c>
      <c r="G13" s="2">
        <v>4000</v>
      </c>
      <c r="H13" s="4"/>
      <c r="I13" s="4"/>
      <c r="K13" s="4"/>
      <c r="L13" s="4"/>
      <c r="M13" s="4"/>
      <c r="N13" s="4"/>
      <c r="O13" s="4"/>
      <c r="P13" s="4"/>
      <c r="Q13" s="4"/>
      <c r="R13" s="4"/>
      <c r="T13" s="4"/>
      <c r="U13" s="4"/>
      <c r="V13" s="4"/>
      <c r="X13" s="4"/>
    </row>
    <row r="14" spans="1:25" x14ac:dyDescent="0.15">
      <c r="B14" s="2" t="s">
        <v>104</v>
      </c>
      <c r="C14" s="2" t="s">
        <v>80</v>
      </c>
      <c r="D14" s="2">
        <v>7000</v>
      </c>
      <c r="E14" s="2">
        <v>15</v>
      </c>
      <c r="F14" s="2">
        <v>8</v>
      </c>
      <c r="G14" s="4">
        <v>8000</v>
      </c>
      <c r="H14" s="4"/>
      <c r="I14" s="4"/>
      <c r="K14" s="4"/>
      <c r="L14" s="4"/>
      <c r="M14" s="4"/>
      <c r="N14" s="4"/>
      <c r="O14" s="4"/>
      <c r="P14" s="4"/>
      <c r="Q14" s="4"/>
      <c r="R14" s="4"/>
      <c r="T14" s="4"/>
      <c r="U14" s="4"/>
      <c r="V14" s="4"/>
      <c r="X14" s="4"/>
    </row>
    <row r="15" spans="1:25" x14ac:dyDescent="0.15">
      <c r="B15" s="2" t="s">
        <v>105</v>
      </c>
      <c r="C15" s="2" t="s">
        <v>79</v>
      </c>
      <c r="D15" s="2">
        <v>7000</v>
      </c>
      <c r="E15" s="2">
        <v>15</v>
      </c>
      <c r="F15" s="2">
        <v>8</v>
      </c>
      <c r="G15" s="4">
        <v>8000</v>
      </c>
      <c r="H15" s="4"/>
      <c r="I15" s="4"/>
      <c r="K15" s="4"/>
      <c r="L15" s="4"/>
      <c r="M15" s="4"/>
      <c r="N15" s="4"/>
      <c r="O15" s="4"/>
      <c r="P15" s="4"/>
      <c r="Q15" s="4"/>
      <c r="R15" s="4"/>
      <c r="T15" s="4"/>
      <c r="U15" s="4"/>
      <c r="V15" s="4"/>
      <c r="X15" s="4"/>
    </row>
    <row r="16" spans="1:25" x14ac:dyDescent="0.15">
      <c r="B16" s="2" t="s">
        <v>106</v>
      </c>
      <c r="C16" s="2" t="s">
        <v>78</v>
      </c>
      <c r="D16" s="2">
        <v>7000</v>
      </c>
      <c r="E16" s="2">
        <v>15</v>
      </c>
      <c r="F16" s="2">
        <v>8</v>
      </c>
      <c r="G16" s="4">
        <v>8000</v>
      </c>
      <c r="H16" s="4"/>
      <c r="I16" s="4"/>
      <c r="K16" s="4"/>
      <c r="L16" s="4"/>
      <c r="M16" s="4"/>
      <c r="N16" s="4"/>
      <c r="O16" s="4"/>
      <c r="P16" s="4"/>
      <c r="Q16" s="4"/>
      <c r="R16" s="4"/>
      <c r="T16" s="4"/>
      <c r="U16" s="4"/>
      <c r="V16" s="4"/>
      <c r="X16" s="4"/>
    </row>
    <row r="17" spans="2:24" x14ac:dyDescent="0.15">
      <c r="B17" s="2" t="s">
        <v>107</v>
      </c>
      <c r="C17" s="2" t="s">
        <v>77</v>
      </c>
      <c r="D17" s="2">
        <v>7000</v>
      </c>
      <c r="E17" s="2">
        <v>15</v>
      </c>
      <c r="F17" s="2">
        <v>8</v>
      </c>
      <c r="G17" s="4">
        <v>8000</v>
      </c>
      <c r="H17" s="4"/>
      <c r="I17" s="4"/>
      <c r="K17" s="4"/>
      <c r="L17" s="4"/>
      <c r="M17" s="4"/>
      <c r="N17" s="4"/>
      <c r="O17" s="4"/>
      <c r="P17" s="4"/>
      <c r="Q17" s="4"/>
      <c r="R17" s="4"/>
      <c r="T17" s="4"/>
      <c r="U17" s="4"/>
      <c r="V17" s="4"/>
      <c r="X17" s="4"/>
    </row>
    <row r="18" spans="2:24" x14ac:dyDescent="0.15">
      <c r="B18" s="2" t="s">
        <v>108</v>
      </c>
      <c r="C18" s="2" t="s">
        <v>76</v>
      </c>
      <c r="D18" s="2">
        <v>6000</v>
      </c>
      <c r="E18" s="2">
        <v>15</v>
      </c>
      <c r="F18" s="2">
        <v>8</v>
      </c>
      <c r="G18" s="4">
        <v>8000</v>
      </c>
      <c r="H18" s="4"/>
      <c r="I18" s="4"/>
      <c r="K18" s="4"/>
      <c r="L18" s="4"/>
      <c r="M18" s="4"/>
      <c r="N18" s="4"/>
      <c r="O18" s="4"/>
      <c r="P18" s="4"/>
      <c r="Q18" s="4"/>
      <c r="R18" s="4"/>
      <c r="T18" s="4"/>
      <c r="U18" s="4"/>
      <c r="V18" s="4"/>
      <c r="X18" s="4"/>
    </row>
    <row r="19" spans="2:24" x14ac:dyDescent="0.15">
      <c r="B19" s="2" t="s">
        <v>109</v>
      </c>
      <c r="C19" s="2" t="s">
        <v>75</v>
      </c>
      <c r="D19" s="2">
        <v>6000</v>
      </c>
      <c r="E19" s="2">
        <v>15</v>
      </c>
      <c r="F19" s="2">
        <v>8</v>
      </c>
      <c r="G19" s="4">
        <v>8000</v>
      </c>
      <c r="H19" s="4"/>
      <c r="I19" s="4"/>
      <c r="K19" s="4"/>
      <c r="L19" s="4"/>
      <c r="M19" s="4"/>
      <c r="N19" s="4"/>
      <c r="O19" s="4"/>
      <c r="P19" s="4"/>
      <c r="Q19" s="4"/>
      <c r="R19" s="4"/>
      <c r="T19" s="4"/>
      <c r="U19" s="4"/>
      <c r="V19" s="4"/>
      <c r="X19" s="4"/>
    </row>
    <row r="20" spans="2:24" x14ac:dyDescent="0.15">
      <c r="B20" s="2" t="s">
        <v>110</v>
      </c>
      <c r="C20" s="2" t="s">
        <v>74</v>
      </c>
      <c r="D20" s="2">
        <v>6000</v>
      </c>
      <c r="E20" s="2">
        <v>15</v>
      </c>
      <c r="F20" s="2">
        <v>8</v>
      </c>
      <c r="G20" s="4">
        <v>8000</v>
      </c>
      <c r="H20" s="4"/>
      <c r="I20" s="4"/>
      <c r="K20" s="4"/>
      <c r="L20" s="4"/>
      <c r="M20" s="4"/>
      <c r="N20" s="4"/>
      <c r="O20" s="4"/>
      <c r="P20" s="4"/>
      <c r="Q20" s="4"/>
      <c r="R20" s="4"/>
      <c r="T20" s="4"/>
      <c r="U20" s="4"/>
      <c r="V20" s="4"/>
      <c r="X20" s="4"/>
    </row>
    <row r="21" spans="2:24" x14ac:dyDescent="0.15">
      <c r="B21" s="2" t="s">
        <v>111</v>
      </c>
      <c r="C21" s="2" t="s">
        <v>73</v>
      </c>
      <c r="D21" s="2">
        <v>6000</v>
      </c>
      <c r="E21" s="2">
        <v>15</v>
      </c>
      <c r="F21" s="2">
        <v>8</v>
      </c>
      <c r="G21" s="4">
        <v>8000</v>
      </c>
      <c r="H21" s="4"/>
      <c r="I21" s="4"/>
      <c r="K21" s="4"/>
      <c r="L21" s="4"/>
      <c r="M21" s="4"/>
      <c r="N21" s="4"/>
      <c r="O21" s="4"/>
      <c r="P21" s="4"/>
      <c r="Q21" s="4"/>
      <c r="R21" s="4"/>
      <c r="T21" s="4"/>
      <c r="U21" s="4"/>
      <c r="V21" s="4"/>
      <c r="X21" s="4"/>
    </row>
    <row r="22" spans="2:24" x14ac:dyDescent="0.15">
      <c r="B22" s="2" t="s">
        <v>112</v>
      </c>
      <c r="C22" s="2" t="s">
        <v>72</v>
      </c>
      <c r="D22" s="4">
        <v>8000</v>
      </c>
      <c r="E22" s="2">
        <v>20</v>
      </c>
      <c r="F22" s="4">
        <v>7</v>
      </c>
      <c r="G22" s="4">
        <v>12000</v>
      </c>
      <c r="H22" s="4"/>
      <c r="I22" s="4"/>
      <c r="K22" s="4"/>
      <c r="L22" s="4"/>
      <c r="M22" s="4"/>
      <c r="N22" s="4"/>
      <c r="O22" s="4"/>
      <c r="P22" s="4"/>
      <c r="Q22" s="4"/>
      <c r="R22" s="4"/>
      <c r="T22" s="4"/>
      <c r="U22" s="4"/>
      <c r="V22" s="4"/>
      <c r="X22" s="4"/>
    </row>
    <row r="23" spans="2:24" x14ac:dyDescent="0.15">
      <c r="B23" s="2" t="s">
        <v>113</v>
      </c>
      <c r="C23" s="2" t="s">
        <v>71</v>
      </c>
      <c r="D23" s="4">
        <v>8000</v>
      </c>
      <c r="E23" s="2">
        <v>20</v>
      </c>
      <c r="F23" s="4">
        <v>7</v>
      </c>
      <c r="G23" s="4">
        <v>12000</v>
      </c>
      <c r="H23" s="4"/>
      <c r="I23" s="4"/>
      <c r="K23" s="4"/>
      <c r="L23" s="4"/>
      <c r="M23" s="4"/>
      <c r="N23" s="4"/>
      <c r="O23" s="4"/>
      <c r="P23" s="4"/>
      <c r="Q23" s="4"/>
      <c r="R23" s="4"/>
      <c r="T23" s="4"/>
      <c r="U23" s="4"/>
      <c r="V23" s="4"/>
      <c r="X23" s="4"/>
    </row>
    <row r="24" spans="2:24" x14ac:dyDescent="0.15">
      <c r="B24" s="2" t="s">
        <v>114</v>
      </c>
      <c r="C24" s="2" t="s">
        <v>70</v>
      </c>
      <c r="D24" s="4">
        <v>8000</v>
      </c>
      <c r="E24" s="2">
        <v>20</v>
      </c>
      <c r="F24" s="4">
        <v>7</v>
      </c>
      <c r="G24" s="4">
        <v>12000</v>
      </c>
      <c r="H24" s="4"/>
      <c r="I24" s="4"/>
      <c r="K24" s="4"/>
      <c r="L24" s="4"/>
      <c r="M24" s="4"/>
      <c r="N24" s="4"/>
      <c r="O24" s="4"/>
      <c r="P24" s="4"/>
      <c r="Q24" s="4"/>
      <c r="R24" s="4"/>
      <c r="T24" s="4"/>
      <c r="U24" s="4"/>
      <c r="V24" s="4"/>
      <c r="X24" s="4"/>
    </row>
    <row r="25" spans="2:24" x14ac:dyDescent="0.15">
      <c r="B25" s="2" t="s">
        <v>115</v>
      </c>
      <c r="C25" s="2" t="s">
        <v>69</v>
      </c>
      <c r="D25" s="4">
        <v>8000</v>
      </c>
      <c r="E25" s="2">
        <v>20</v>
      </c>
      <c r="F25" s="4">
        <v>7</v>
      </c>
      <c r="G25" s="4">
        <v>12000</v>
      </c>
      <c r="H25" s="4"/>
      <c r="I25" s="4"/>
      <c r="K25" s="4"/>
      <c r="L25" s="4"/>
      <c r="M25" s="4"/>
      <c r="N25" s="4"/>
      <c r="O25" s="4"/>
      <c r="P25" s="4"/>
      <c r="Q25" s="4"/>
      <c r="R25" s="4"/>
      <c r="T25" s="4"/>
      <c r="U25" s="4"/>
      <c r="V25" s="4"/>
      <c r="X25" s="4"/>
    </row>
    <row r="26" spans="2:24" x14ac:dyDescent="0.15">
      <c r="B26" s="2" t="s">
        <v>116</v>
      </c>
      <c r="C26" s="2" t="s">
        <v>68</v>
      </c>
      <c r="D26" s="4">
        <v>7000</v>
      </c>
      <c r="E26" s="2">
        <v>20</v>
      </c>
      <c r="F26" s="4">
        <v>7</v>
      </c>
      <c r="G26" s="4">
        <v>12000</v>
      </c>
      <c r="H26" s="4"/>
      <c r="I26" s="4"/>
      <c r="K26" s="4"/>
      <c r="L26" s="4"/>
      <c r="M26" s="4"/>
      <c r="N26" s="4"/>
      <c r="O26" s="4"/>
      <c r="P26" s="4"/>
      <c r="Q26" s="4"/>
      <c r="R26" s="4"/>
      <c r="T26" s="4"/>
      <c r="U26" s="4"/>
      <c r="V26" s="4"/>
      <c r="X26" s="4"/>
    </row>
    <row r="27" spans="2:24" x14ac:dyDescent="0.15">
      <c r="B27" s="2" t="s">
        <v>117</v>
      </c>
      <c r="C27" s="2" t="s">
        <v>67</v>
      </c>
      <c r="D27" s="4">
        <v>7000</v>
      </c>
      <c r="E27" s="2">
        <v>20</v>
      </c>
      <c r="F27" s="4">
        <v>7</v>
      </c>
      <c r="G27" s="4">
        <v>12000</v>
      </c>
      <c r="H27" s="4"/>
      <c r="I27" s="4"/>
      <c r="K27" s="4"/>
      <c r="L27" s="4"/>
      <c r="M27" s="4"/>
      <c r="N27" s="4"/>
      <c r="O27" s="4"/>
      <c r="P27" s="4"/>
      <c r="Q27" s="4"/>
      <c r="R27" s="4"/>
      <c r="T27" s="4"/>
      <c r="U27" s="4"/>
      <c r="V27" s="4"/>
      <c r="X27" s="4"/>
    </row>
    <row r="28" spans="2:24" x14ac:dyDescent="0.15">
      <c r="B28" s="2" t="s">
        <v>118</v>
      </c>
      <c r="C28" s="2" t="s">
        <v>66</v>
      </c>
      <c r="D28" s="4">
        <v>7000</v>
      </c>
      <c r="E28" s="2">
        <v>20</v>
      </c>
      <c r="F28" s="4">
        <v>7</v>
      </c>
      <c r="G28" s="4">
        <v>12000</v>
      </c>
      <c r="H28" s="4"/>
      <c r="I28" s="4"/>
      <c r="K28" s="4"/>
      <c r="L28" s="4"/>
      <c r="M28" s="4"/>
      <c r="N28" s="4"/>
      <c r="O28" s="4"/>
      <c r="P28" s="4"/>
      <c r="Q28" s="4"/>
      <c r="R28" s="4"/>
      <c r="T28" s="4"/>
      <c r="U28" s="4"/>
      <c r="V28" s="4"/>
      <c r="X28" s="4"/>
    </row>
    <row r="29" spans="2:24" x14ac:dyDescent="0.15">
      <c r="B29" s="2" t="s">
        <v>119</v>
      </c>
      <c r="C29" s="2" t="s">
        <v>65</v>
      </c>
      <c r="D29" s="4">
        <v>7000</v>
      </c>
      <c r="E29" s="2">
        <v>20</v>
      </c>
      <c r="F29" s="4">
        <v>7</v>
      </c>
      <c r="G29" s="4">
        <v>12000</v>
      </c>
      <c r="H29" s="4"/>
      <c r="I29" s="4"/>
      <c r="K29" s="4"/>
      <c r="L29" s="4"/>
      <c r="M29" s="4"/>
      <c r="N29" s="4"/>
      <c r="O29" s="4"/>
      <c r="P29" s="4"/>
      <c r="Q29" s="4"/>
      <c r="R29" s="4"/>
      <c r="T29" s="4"/>
      <c r="U29" s="4"/>
      <c r="V29" s="4"/>
      <c r="X29" s="4"/>
    </row>
    <row r="30" spans="2:24" x14ac:dyDescent="0.15">
      <c r="B30" s="2" t="s">
        <v>120</v>
      </c>
      <c r="C30" s="2" t="s">
        <v>64</v>
      </c>
      <c r="D30" s="4">
        <v>9000</v>
      </c>
      <c r="E30" s="2">
        <v>25</v>
      </c>
      <c r="F30" s="4">
        <v>6</v>
      </c>
      <c r="G30" s="4">
        <v>16000</v>
      </c>
      <c r="H30" s="4"/>
      <c r="I30" s="4"/>
      <c r="K30" s="4"/>
      <c r="L30" s="4"/>
      <c r="M30" s="4"/>
      <c r="N30" s="4"/>
      <c r="O30" s="4"/>
      <c r="P30" s="4"/>
      <c r="Q30" s="4"/>
      <c r="R30" s="4"/>
      <c r="T30" s="4"/>
      <c r="U30" s="4"/>
      <c r="V30" s="4"/>
      <c r="X30" s="4"/>
    </row>
    <row r="31" spans="2:24" x14ac:dyDescent="0.15">
      <c r="B31" s="2" t="s">
        <v>121</v>
      </c>
      <c r="C31" s="2" t="s">
        <v>63</v>
      </c>
      <c r="D31" s="4">
        <v>9000</v>
      </c>
      <c r="E31" s="2">
        <v>25</v>
      </c>
      <c r="F31" s="4">
        <v>6</v>
      </c>
      <c r="G31" s="4">
        <v>16000</v>
      </c>
      <c r="H31" s="4"/>
      <c r="I31" s="4"/>
      <c r="K31" s="4"/>
      <c r="L31" s="4"/>
      <c r="M31" s="4"/>
      <c r="N31" s="4"/>
      <c r="O31" s="4"/>
      <c r="P31" s="4"/>
      <c r="Q31" s="4"/>
      <c r="R31" s="4"/>
      <c r="T31" s="4"/>
      <c r="U31" s="4"/>
      <c r="V31" s="4"/>
      <c r="X31" s="4"/>
    </row>
    <row r="32" spans="2:24" x14ac:dyDescent="0.15">
      <c r="B32" s="2" t="s">
        <v>122</v>
      </c>
      <c r="C32" s="2" t="s">
        <v>62</v>
      </c>
      <c r="D32" s="4">
        <v>9000</v>
      </c>
      <c r="E32" s="2">
        <v>25</v>
      </c>
      <c r="F32" s="4">
        <v>6</v>
      </c>
      <c r="G32" s="4">
        <v>16000</v>
      </c>
      <c r="H32" s="4"/>
      <c r="I32" s="4"/>
      <c r="K32" s="4"/>
      <c r="L32" s="4"/>
      <c r="M32" s="4"/>
      <c r="N32" s="4"/>
      <c r="O32" s="4"/>
      <c r="P32" s="4"/>
      <c r="Q32" s="4"/>
      <c r="R32" s="4"/>
      <c r="T32" s="4"/>
      <c r="U32" s="4"/>
      <c r="V32" s="4"/>
      <c r="X32" s="4"/>
    </row>
    <row r="33" spans="2:24" x14ac:dyDescent="0.15">
      <c r="B33" s="2" t="s">
        <v>123</v>
      </c>
      <c r="C33" s="2" t="s">
        <v>61</v>
      </c>
      <c r="D33" s="4">
        <v>9000</v>
      </c>
      <c r="E33" s="2">
        <v>25</v>
      </c>
      <c r="F33" s="4">
        <v>6</v>
      </c>
      <c r="G33" s="4">
        <v>16000</v>
      </c>
      <c r="H33" s="4"/>
      <c r="I33" s="4"/>
      <c r="K33" s="4"/>
      <c r="L33" s="4"/>
      <c r="M33" s="4"/>
      <c r="N33" s="4"/>
      <c r="O33" s="4"/>
      <c r="P33" s="4"/>
      <c r="Q33" s="4"/>
      <c r="R33" s="4"/>
      <c r="T33" s="4"/>
      <c r="U33" s="4"/>
      <c r="V33" s="4"/>
      <c r="X33" s="4"/>
    </row>
    <row r="34" spans="2:24" x14ac:dyDescent="0.15">
      <c r="B34" s="2" t="s">
        <v>124</v>
      </c>
      <c r="C34" s="2" t="s">
        <v>60</v>
      </c>
      <c r="D34" s="4">
        <v>8000</v>
      </c>
      <c r="E34" s="2">
        <v>25</v>
      </c>
      <c r="F34" s="4">
        <v>6</v>
      </c>
      <c r="G34" s="4">
        <v>16000</v>
      </c>
      <c r="H34" s="4"/>
      <c r="I34" s="4"/>
      <c r="K34" s="4"/>
      <c r="L34" s="4"/>
      <c r="M34" s="4"/>
      <c r="N34" s="4"/>
      <c r="O34" s="4"/>
      <c r="P34" s="4"/>
      <c r="Q34" s="4"/>
      <c r="R34" s="4"/>
      <c r="T34" s="4"/>
      <c r="U34" s="4"/>
      <c r="V34" s="4"/>
      <c r="X34" s="4"/>
    </row>
    <row r="35" spans="2:24" x14ac:dyDescent="0.15">
      <c r="B35" s="2" t="s">
        <v>125</v>
      </c>
      <c r="C35" s="2" t="s">
        <v>59</v>
      </c>
      <c r="D35" s="4">
        <v>8000</v>
      </c>
      <c r="E35" s="2">
        <v>25</v>
      </c>
      <c r="F35" s="4">
        <v>6</v>
      </c>
      <c r="G35" s="4">
        <v>16000</v>
      </c>
      <c r="H35" s="4"/>
      <c r="I35" s="4"/>
      <c r="K35" s="4"/>
      <c r="L35" s="4"/>
      <c r="M35" s="4"/>
      <c r="N35" s="4"/>
      <c r="O35" s="4"/>
      <c r="P35" s="4"/>
      <c r="Q35" s="4"/>
      <c r="R35" s="4"/>
      <c r="T35" s="4"/>
      <c r="U35" s="4"/>
      <c r="V35" s="4"/>
      <c r="X35" s="4"/>
    </row>
    <row r="36" spans="2:24" x14ac:dyDescent="0.15">
      <c r="B36" s="2" t="s">
        <v>126</v>
      </c>
      <c r="C36" s="2" t="s">
        <v>58</v>
      </c>
      <c r="D36" s="4">
        <v>8000</v>
      </c>
      <c r="E36" s="2">
        <v>25</v>
      </c>
      <c r="F36" s="4">
        <v>6</v>
      </c>
      <c r="G36" s="4">
        <v>16000</v>
      </c>
      <c r="H36" s="4"/>
      <c r="I36" s="4"/>
      <c r="K36" s="4"/>
      <c r="L36" s="4"/>
      <c r="M36" s="4"/>
      <c r="N36" s="4"/>
      <c r="O36" s="4"/>
      <c r="P36" s="4"/>
      <c r="Q36" s="4"/>
      <c r="R36" s="4"/>
      <c r="T36" s="4"/>
      <c r="U36" s="4"/>
      <c r="V36" s="4"/>
      <c r="X36" s="4"/>
    </row>
    <row r="37" spans="2:24" x14ac:dyDescent="0.15">
      <c r="B37" s="2" t="s">
        <v>127</v>
      </c>
      <c r="C37" s="2" t="s">
        <v>57</v>
      </c>
      <c r="D37" s="4">
        <v>8000</v>
      </c>
      <c r="E37" s="2">
        <v>25</v>
      </c>
      <c r="F37" s="4">
        <v>6</v>
      </c>
      <c r="G37" s="4">
        <v>16000</v>
      </c>
      <c r="H37" s="4"/>
      <c r="I37" s="4"/>
      <c r="K37" s="4"/>
      <c r="L37" s="4"/>
      <c r="M37" s="4"/>
      <c r="N37" s="4"/>
      <c r="O37" s="4"/>
      <c r="P37" s="4"/>
      <c r="Q37" s="4"/>
      <c r="R37" s="4"/>
      <c r="T37" s="4"/>
      <c r="U37" s="4"/>
      <c r="V37" s="4"/>
      <c r="X37" s="4"/>
    </row>
    <row r="38" spans="2:24" x14ac:dyDescent="0.15">
      <c r="B38" s="2" t="s">
        <v>128</v>
      </c>
      <c r="C38" s="2" t="s">
        <v>56</v>
      </c>
      <c r="D38" s="4">
        <v>10000</v>
      </c>
      <c r="E38" s="2">
        <v>30</v>
      </c>
      <c r="F38" s="4">
        <v>5</v>
      </c>
      <c r="G38" s="4">
        <v>20000</v>
      </c>
      <c r="H38" s="4"/>
      <c r="I38" s="4"/>
      <c r="K38" s="4"/>
      <c r="L38" s="4"/>
      <c r="M38" s="4"/>
      <c r="N38" s="4"/>
      <c r="O38" s="4"/>
      <c r="P38" s="4"/>
      <c r="Q38" s="4"/>
      <c r="R38" s="4"/>
      <c r="T38" s="4"/>
      <c r="U38" s="4"/>
      <c r="V38" s="4"/>
      <c r="X38" s="4"/>
    </row>
    <row r="39" spans="2:24" x14ac:dyDescent="0.15">
      <c r="B39" s="2" t="s">
        <v>129</v>
      </c>
      <c r="C39" s="2" t="s">
        <v>55</v>
      </c>
      <c r="D39" s="4">
        <v>10000</v>
      </c>
      <c r="E39" s="2">
        <v>30</v>
      </c>
      <c r="F39" s="4">
        <v>5</v>
      </c>
      <c r="G39" s="4">
        <v>20000</v>
      </c>
      <c r="H39" s="4"/>
      <c r="I39" s="4"/>
      <c r="K39" s="4"/>
      <c r="L39" s="4"/>
      <c r="M39" s="4"/>
      <c r="N39" s="4"/>
      <c r="O39" s="4"/>
      <c r="P39" s="4"/>
      <c r="Q39" s="4"/>
      <c r="R39" s="4"/>
      <c r="T39" s="4"/>
      <c r="U39" s="4"/>
      <c r="V39" s="4"/>
      <c r="X39" s="4"/>
    </row>
    <row r="40" spans="2:24" x14ac:dyDescent="0.15">
      <c r="B40" s="2" t="s">
        <v>130</v>
      </c>
      <c r="C40" s="2" t="s">
        <v>54</v>
      </c>
      <c r="D40" s="4">
        <v>10000</v>
      </c>
      <c r="E40" s="2">
        <v>30</v>
      </c>
      <c r="F40" s="4">
        <v>5</v>
      </c>
      <c r="G40" s="4">
        <v>20000</v>
      </c>
      <c r="H40" s="4"/>
      <c r="I40" s="4"/>
      <c r="K40" s="4"/>
      <c r="L40" s="4"/>
      <c r="M40" s="4"/>
      <c r="N40" s="4"/>
      <c r="O40" s="4"/>
      <c r="P40" s="4"/>
      <c r="Q40" s="4"/>
      <c r="R40" s="4"/>
      <c r="T40" s="4"/>
      <c r="U40" s="4"/>
      <c r="V40" s="4"/>
      <c r="X40" s="4"/>
    </row>
    <row r="41" spans="2:24" x14ac:dyDescent="0.15">
      <c r="B41" s="2" t="s">
        <v>131</v>
      </c>
      <c r="C41" s="2" t="s">
        <v>53</v>
      </c>
      <c r="D41" s="4">
        <v>10000</v>
      </c>
      <c r="E41" s="2">
        <v>30</v>
      </c>
      <c r="F41" s="4">
        <v>5</v>
      </c>
      <c r="G41" s="4">
        <v>20000</v>
      </c>
      <c r="H41" s="4"/>
      <c r="I41" s="4"/>
      <c r="K41" s="4"/>
      <c r="L41" s="4"/>
      <c r="M41" s="4"/>
      <c r="N41" s="4"/>
      <c r="O41" s="4"/>
      <c r="P41" s="4"/>
      <c r="Q41" s="4"/>
      <c r="R41" s="4"/>
      <c r="T41" s="4"/>
      <c r="U41" s="4"/>
      <c r="V41" s="4"/>
      <c r="X41" s="4"/>
    </row>
    <row r="42" spans="2:24" x14ac:dyDescent="0.15">
      <c r="B42" s="2" t="s">
        <v>132</v>
      </c>
      <c r="C42" s="2" t="s">
        <v>52</v>
      </c>
      <c r="D42" s="4">
        <v>9000</v>
      </c>
      <c r="E42" s="2">
        <v>30</v>
      </c>
      <c r="F42" s="4">
        <v>5</v>
      </c>
      <c r="G42" s="4">
        <v>20000</v>
      </c>
      <c r="H42" s="4"/>
      <c r="I42" s="4"/>
      <c r="K42" s="4"/>
      <c r="L42" s="4"/>
      <c r="M42" s="4"/>
      <c r="N42" s="4"/>
      <c r="O42" s="4"/>
      <c r="P42" s="4"/>
      <c r="Q42" s="4"/>
      <c r="R42" s="4"/>
      <c r="T42" s="4"/>
      <c r="U42" s="4"/>
      <c r="V42" s="4"/>
      <c r="X42" s="4"/>
    </row>
    <row r="43" spans="2:24" x14ac:dyDescent="0.15">
      <c r="B43" s="2" t="s">
        <v>133</v>
      </c>
      <c r="C43" s="2" t="s">
        <v>51</v>
      </c>
      <c r="D43" s="4">
        <v>9000</v>
      </c>
      <c r="E43" s="2">
        <v>30</v>
      </c>
      <c r="F43" s="4">
        <v>5</v>
      </c>
      <c r="G43" s="4">
        <v>20000</v>
      </c>
      <c r="H43" s="4"/>
      <c r="I43" s="4"/>
      <c r="K43" s="4"/>
      <c r="L43" s="4"/>
      <c r="M43" s="4"/>
      <c r="N43" s="4"/>
      <c r="O43" s="4"/>
      <c r="P43" s="4"/>
      <c r="Q43" s="4"/>
      <c r="R43" s="4"/>
      <c r="T43" s="4"/>
      <c r="U43" s="4"/>
      <c r="V43" s="4"/>
      <c r="X43" s="4"/>
    </row>
    <row r="44" spans="2:24" x14ac:dyDescent="0.15">
      <c r="B44" s="2" t="s">
        <v>134</v>
      </c>
      <c r="C44" s="2" t="s">
        <v>50</v>
      </c>
      <c r="D44" s="4">
        <v>9000</v>
      </c>
      <c r="E44" s="6">
        <v>30</v>
      </c>
      <c r="F44" s="4">
        <v>5</v>
      </c>
      <c r="G44" s="4">
        <v>20000</v>
      </c>
      <c r="H44" s="4"/>
      <c r="I44" s="4"/>
      <c r="K44" s="4"/>
      <c r="L44" s="4"/>
      <c r="M44" s="4"/>
      <c r="N44" s="4"/>
      <c r="O44" s="4"/>
      <c r="P44" s="4"/>
      <c r="Q44" s="4"/>
      <c r="R44" s="4"/>
      <c r="T44" s="4"/>
      <c r="U44" s="4"/>
      <c r="V44" s="4"/>
      <c r="X44" s="4"/>
    </row>
    <row r="45" spans="2:24" x14ac:dyDescent="0.15">
      <c r="B45" s="2" t="s">
        <v>135</v>
      </c>
      <c r="C45" s="2" t="s">
        <v>49</v>
      </c>
      <c r="D45" s="4">
        <v>9000</v>
      </c>
      <c r="E45" s="6">
        <v>30</v>
      </c>
      <c r="F45" s="4">
        <v>5</v>
      </c>
      <c r="G45" s="4">
        <v>20000</v>
      </c>
      <c r="H45" s="4"/>
      <c r="I45" s="4"/>
      <c r="K45" s="4"/>
      <c r="L45" s="4"/>
      <c r="M45" s="4"/>
      <c r="N45" s="4"/>
      <c r="O45" s="4"/>
      <c r="P45" s="4"/>
      <c r="Q45" s="4"/>
      <c r="R45" s="4"/>
      <c r="T45" s="4"/>
      <c r="U45" s="4"/>
      <c r="V45" s="4"/>
      <c r="X45" s="4"/>
    </row>
    <row r="46" spans="2:24" x14ac:dyDescent="0.15">
      <c r="B46" s="2" t="s">
        <v>136</v>
      </c>
      <c r="C46" s="2" t="s">
        <v>48</v>
      </c>
      <c r="D46" s="4">
        <v>11000</v>
      </c>
      <c r="E46" s="6">
        <v>40</v>
      </c>
      <c r="F46" s="4">
        <v>4</v>
      </c>
      <c r="G46" s="4">
        <v>24000</v>
      </c>
      <c r="H46" s="4"/>
      <c r="I46" s="4"/>
      <c r="K46" s="4"/>
      <c r="L46" s="4"/>
      <c r="M46" s="4"/>
      <c r="N46" s="4"/>
      <c r="O46" s="4"/>
      <c r="P46" s="4"/>
      <c r="Q46" s="4"/>
      <c r="R46" s="4"/>
      <c r="T46" s="4"/>
      <c r="U46" s="4"/>
      <c r="V46" s="4"/>
      <c r="X46" s="4"/>
    </row>
    <row r="47" spans="2:24" x14ac:dyDescent="0.15">
      <c r="B47" s="2" t="s">
        <v>137</v>
      </c>
      <c r="C47" s="2" t="s">
        <v>47</v>
      </c>
      <c r="D47" s="4">
        <v>11000</v>
      </c>
      <c r="E47" s="6">
        <v>40</v>
      </c>
      <c r="F47" s="4">
        <v>4</v>
      </c>
      <c r="G47" s="4">
        <v>24000</v>
      </c>
      <c r="H47" s="4"/>
      <c r="I47" s="4"/>
      <c r="K47" s="4"/>
      <c r="P47" s="4"/>
      <c r="Q47" s="4"/>
      <c r="R47" s="4"/>
      <c r="T47" s="4"/>
      <c r="V47" s="4"/>
      <c r="X47" s="4"/>
    </row>
    <row r="48" spans="2:24" x14ac:dyDescent="0.15">
      <c r="B48" s="2" t="s">
        <v>138</v>
      </c>
      <c r="C48" s="2" t="s">
        <v>46</v>
      </c>
      <c r="D48" s="4">
        <v>11000</v>
      </c>
      <c r="E48" s="6">
        <v>40</v>
      </c>
      <c r="F48" s="4">
        <v>4</v>
      </c>
      <c r="G48" s="4">
        <v>24000</v>
      </c>
      <c r="H48" s="4"/>
      <c r="P48" s="4"/>
      <c r="Q48" s="4"/>
    </row>
    <row r="49" spans="2:17" x14ac:dyDescent="0.15">
      <c r="B49" s="2" t="s">
        <v>139</v>
      </c>
      <c r="C49" s="2" t="s">
        <v>45</v>
      </c>
      <c r="D49" s="4">
        <v>11000</v>
      </c>
      <c r="E49" s="6">
        <v>40</v>
      </c>
      <c r="F49" s="4">
        <v>4</v>
      </c>
      <c r="G49" s="4">
        <v>24000</v>
      </c>
      <c r="H49" s="4"/>
      <c r="P49" s="4"/>
      <c r="Q49" s="4"/>
    </row>
    <row r="50" spans="2:17" x14ac:dyDescent="0.15">
      <c r="B50" s="2" t="s">
        <v>140</v>
      </c>
      <c r="C50" s="2" t="s">
        <v>44</v>
      </c>
      <c r="D50" s="4">
        <v>10000</v>
      </c>
      <c r="E50" s="6">
        <v>40</v>
      </c>
      <c r="F50" s="4">
        <v>4</v>
      </c>
      <c r="G50" s="4">
        <v>24000</v>
      </c>
      <c r="H50" s="4"/>
      <c r="P50" s="4"/>
      <c r="Q50" s="4"/>
    </row>
    <row r="51" spans="2:17" x14ac:dyDescent="0.15">
      <c r="B51" s="2" t="s">
        <v>141</v>
      </c>
      <c r="C51" s="2" t="s">
        <v>43</v>
      </c>
      <c r="D51" s="4">
        <v>10000</v>
      </c>
      <c r="E51" s="6">
        <v>40</v>
      </c>
      <c r="F51" s="4">
        <v>4</v>
      </c>
      <c r="G51" s="4">
        <v>24000</v>
      </c>
      <c r="H51" s="4"/>
      <c r="P51" s="4"/>
      <c r="Q51" s="4"/>
    </row>
    <row r="52" spans="2:17" x14ac:dyDescent="0.15">
      <c r="B52" s="2" t="s">
        <v>142</v>
      </c>
      <c r="C52" s="2" t="s">
        <v>42</v>
      </c>
      <c r="D52" s="4">
        <v>10000</v>
      </c>
      <c r="E52" s="6">
        <v>40</v>
      </c>
      <c r="F52" s="4">
        <v>4</v>
      </c>
      <c r="G52" s="4">
        <v>24000</v>
      </c>
      <c r="H52" s="4"/>
      <c r="P52" s="4"/>
      <c r="Q52" s="4"/>
    </row>
    <row r="53" spans="2:17" x14ac:dyDescent="0.15">
      <c r="B53" s="2" t="s">
        <v>143</v>
      </c>
      <c r="C53" s="2" t="s">
        <v>41</v>
      </c>
      <c r="D53" s="4">
        <v>10000</v>
      </c>
      <c r="E53" s="2">
        <v>40</v>
      </c>
      <c r="F53" s="4">
        <v>4</v>
      </c>
      <c r="G53" s="4">
        <v>24000</v>
      </c>
      <c r="H53" s="4"/>
      <c r="P53" s="4"/>
      <c r="Q53" s="4"/>
    </row>
    <row r="54" spans="2:17" x14ac:dyDescent="0.15">
      <c r="B54" s="2" t="s">
        <v>144</v>
      </c>
      <c r="C54" s="4" t="s">
        <v>40</v>
      </c>
      <c r="D54" s="4">
        <v>12000</v>
      </c>
      <c r="E54" s="6">
        <v>50</v>
      </c>
      <c r="F54" s="4">
        <v>3</v>
      </c>
      <c r="G54" s="4">
        <v>28000</v>
      </c>
      <c r="H54" s="4"/>
      <c r="P54" s="4"/>
      <c r="Q54" s="4"/>
    </row>
    <row r="55" spans="2:17" x14ac:dyDescent="0.15">
      <c r="B55" s="2" t="s">
        <v>145</v>
      </c>
      <c r="C55" s="4" t="s">
        <v>39</v>
      </c>
      <c r="D55" s="4">
        <v>12000</v>
      </c>
      <c r="E55" s="6">
        <v>50</v>
      </c>
      <c r="F55" s="4">
        <v>3</v>
      </c>
      <c r="G55" s="4">
        <v>28000</v>
      </c>
      <c r="H55" s="4"/>
      <c r="P55" s="4"/>
      <c r="Q55" s="4"/>
    </row>
    <row r="56" spans="2:17" x14ac:dyDescent="0.15">
      <c r="B56" s="2" t="s">
        <v>146</v>
      </c>
      <c r="C56" s="4" t="s">
        <v>38</v>
      </c>
      <c r="D56" s="4">
        <v>12000</v>
      </c>
      <c r="E56" s="6">
        <v>50</v>
      </c>
      <c r="F56" s="4">
        <v>3</v>
      </c>
      <c r="G56" s="4">
        <v>28000</v>
      </c>
      <c r="H56" s="4"/>
      <c r="P56" s="4"/>
      <c r="Q56" s="4"/>
    </row>
    <row r="57" spans="2:17" x14ac:dyDescent="0.15">
      <c r="B57" s="2" t="s">
        <v>147</v>
      </c>
      <c r="C57" s="4" t="s">
        <v>37</v>
      </c>
      <c r="D57" s="4">
        <v>12000</v>
      </c>
      <c r="E57" s="6">
        <v>50</v>
      </c>
      <c r="F57" s="4">
        <v>3</v>
      </c>
      <c r="G57" s="4">
        <v>28000</v>
      </c>
      <c r="H57" s="4"/>
      <c r="P57" s="4"/>
      <c r="Q57" s="4"/>
    </row>
    <row r="58" spans="2:17" x14ac:dyDescent="0.15">
      <c r="B58" s="2" t="s">
        <v>148</v>
      </c>
      <c r="C58" s="4" t="s">
        <v>36</v>
      </c>
      <c r="D58" s="4">
        <v>11000</v>
      </c>
      <c r="E58" s="6">
        <v>50</v>
      </c>
      <c r="F58" s="4">
        <v>3</v>
      </c>
      <c r="G58" s="4">
        <v>28000</v>
      </c>
      <c r="H58" s="4"/>
      <c r="P58" s="4"/>
      <c r="Q58" s="4"/>
    </row>
    <row r="59" spans="2:17" x14ac:dyDescent="0.15">
      <c r="B59" s="2" t="s">
        <v>149</v>
      </c>
      <c r="C59" s="4" t="s">
        <v>35</v>
      </c>
      <c r="D59" s="4">
        <v>11000</v>
      </c>
      <c r="E59" s="6">
        <v>50</v>
      </c>
      <c r="F59" s="4">
        <v>3</v>
      </c>
      <c r="G59" s="4">
        <v>28000</v>
      </c>
      <c r="H59" s="4"/>
      <c r="P59" s="4"/>
      <c r="Q59" s="4"/>
    </row>
    <row r="60" spans="2:17" x14ac:dyDescent="0.15">
      <c r="B60" s="2" t="s">
        <v>150</v>
      </c>
      <c r="C60" s="4" t="s">
        <v>34</v>
      </c>
      <c r="D60" s="4">
        <v>11000</v>
      </c>
      <c r="E60" s="6">
        <v>50</v>
      </c>
      <c r="F60" s="4">
        <v>3</v>
      </c>
      <c r="G60" s="4">
        <v>28000</v>
      </c>
      <c r="H60" s="4"/>
      <c r="P60" s="4"/>
      <c r="Q60" s="4"/>
    </row>
    <row r="61" spans="2:17" x14ac:dyDescent="0.15">
      <c r="B61" s="2" t="s">
        <v>151</v>
      </c>
      <c r="C61" s="4" t="s">
        <v>33</v>
      </c>
      <c r="D61" s="4">
        <v>11000</v>
      </c>
      <c r="E61" s="6">
        <v>50</v>
      </c>
      <c r="F61" s="4">
        <v>3</v>
      </c>
      <c r="G61" s="4">
        <v>28000</v>
      </c>
      <c r="H61" s="4"/>
      <c r="P61" s="4"/>
      <c r="Q61" s="4"/>
    </row>
    <row r="62" spans="2:17" x14ac:dyDescent="0.15">
      <c r="B62" s="2" t="s">
        <v>152</v>
      </c>
      <c r="C62" s="4" t="s">
        <v>32</v>
      </c>
      <c r="D62" s="4">
        <v>13000</v>
      </c>
      <c r="E62" s="6">
        <v>60</v>
      </c>
      <c r="F62" s="4">
        <v>2</v>
      </c>
      <c r="G62" s="4">
        <v>32000</v>
      </c>
      <c r="H62" s="4"/>
      <c r="P62" s="4"/>
      <c r="Q62" s="4"/>
    </row>
    <row r="63" spans="2:17" x14ac:dyDescent="0.15">
      <c r="B63" s="2" t="s">
        <v>153</v>
      </c>
      <c r="C63" s="4" t="s">
        <v>31</v>
      </c>
      <c r="D63" s="4">
        <v>13000</v>
      </c>
      <c r="E63" s="6">
        <v>60</v>
      </c>
      <c r="F63" s="4">
        <v>2</v>
      </c>
      <c r="G63" s="4">
        <v>32000</v>
      </c>
      <c r="H63" s="4"/>
      <c r="P63" s="4"/>
      <c r="Q63" s="4"/>
    </row>
    <row r="64" spans="2:17" x14ac:dyDescent="0.15">
      <c r="B64" s="2" t="s">
        <v>154</v>
      </c>
      <c r="C64" s="4" t="s">
        <v>30</v>
      </c>
      <c r="D64" s="4">
        <v>13000</v>
      </c>
      <c r="E64" s="6">
        <v>60</v>
      </c>
      <c r="F64" s="4">
        <v>2</v>
      </c>
      <c r="G64" s="4">
        <v>32000</v>
      </c>
      <c r="H64" s="4"/>
      <c r="P64" s="4"/>
      <c r="Q64" s="4"/>
    </row>
    <row r="65" spans="2:17" x14ac:dyDescent="0.15">
      <c r="B65" s="2" t="s">
        <v>155</v>
      </c>
      <c r="C65" s="4" t="s">
        <v>29</v>
      </c>
      <c r="D65" s="4">
        <v>13000</v>
      </c>
      <c r="E65" s="6">
        <v>60</v>
      </c>
      <c r="F65" s="4">
        <v>2</v>
      </c>
      <c r="G65" s="4">
        <v>32000</v>
      </c>
      <c r="H65" s="4"/>
      <c r="P65" s="4"/>
      <c r="Q65" s="4"/>
    </row>
    <row r="66" spans="2:17" x14ac:dyDescent="0.15">
      <c r="B66" s="2" t="s">
        <v>156</v>
      </c>
      <c r="C66" s="4" t="s">
        <v>28</v>
      </c>
      <c r="D66" s="4">
        <v>12000</v>
      </c>
      <c r="E66" s="6">
        <v>60</v>
      </c>
      <c r="F66" s="4">
        <v>2</v>
      </c>
      <c r="G66" s="4">
        <v>32000</v>
      </c>
      <c r="H66" s="4"/>
      <c r="P66" s="4"/>
      <c r="Q66" s="4"/>
    </row>
    <row r="67" spans="2:17" x14ac:dyDescent="0.15">
      <c r="B67" s="2" t="s">
        <v>157</v>
      </c>
      <c r="C67" s="4" t="s">
        <v>27</v>
      </c>
      <c r="D67" s="4">
        <v>12000</v>
      </c>
      <c r="E67" s="6">
        <v>60</v>
      </c>
      <c r="F67" s="4">
        <v>2</v>
      </c>
      <c r="G67" s="4">
        <v>32000</v>
      </c>
      <c r="H67" s="4"/>
      <c r="P67" s="4"/>
      <c r="Q67" s="4"/>
    </row>
    <row r="68" spans="2:17" x14ac:dyDescent="0.15">
      <c r="B68" s="2" t="s">
        <v>158</v>
      </c>
      <c r="C68" s="4" t="s">
        <v>26</v>
      </c>
      <c r="D68" s="4">
        <v>12000</v>
      </c>
      <c r="E68" s="6">
        <v>60</v>
      </c>
      <c r="F68" s="4">
        <v>2</v>
      </c>
      <c r="G68" s="4">
        <v>32000</v>
      </c>
      <c r="H68" s="4"/>
      <c r="P68" s="4"/>
      <c r="Q68" s="4"/>
    </row>
    <row r="69" spans="2:17" x14ac:dyDescent="0.15">
      <c r="B69" s="2" t="s">
        <v>159</v>
      </c>
      <c r="C69" s="4" t="s">
        <v>25</v>
      </c>
      <c r="D69" s="4">
        <v>12000</v>
      </c>
      <c r="E69" s="6">
        <v>60</v>
      </c>
      <c r="F69" s="4">
        <v>2</v>
      </c>
      <c r="G69" s="4">
        <v>32000</v>
      </c>
      <c r="H69" s="4"/>
      <c r="P69" s="4"/>
      <c r="Q69" s="4"/>
    </row>
    <row r="70" spans="2:17" x14ac:dyDescent="0.15">
      <c r="B70" s="2" t="s">
        <v>160</v>
      </c>
      <c r="C70" s="4" t="s">
        <v>24</v>
      </c>
      <c r="D70" s="4">
        <v>14000</v>
      </c>
      <c r="E70" s="6">
        <v>80</v>
      </c>
      <c r="F70" s="4">
        <v>1</v>
      </c>
      <c r="G70" s="4">
        <v>36000</v>
      </c>
    </row>
    <row r="71" spans="2:17" x14ac:dyDescent="0.15">
      <c r="B71" s="2" t="s">
        <v>161</v>
      </c>
      <c r="C71" s="4" t="s">
        <v>23</v>
      </c>
      <c r="D71" s="4">
        <v>14000</v>
      </c>
      <c r="E71" s="6">
        <v>80</v>
      </c>
      <c r="F71" s="4">
        <v>1</v>
      </c>
      <c r="G71" s="4">
        <v>36000</v>
      </c>
    </row>
    <row r="72" spans="2:17" x14ac:dyDescent="0.15">
      <c r="B72" s="2" t="s">
        <v>162</v>
      </c>
      <c r="C72" s="4" t="s">
        <v>22</v>
      </c>
      <c r="D72" s="4">
        <v>14000</v>
      </c>
      <c r="E72" s="6">
        <v>80</v>
      </c>
      <c r="F72" s="4">
        <v>1</v>
      </c>
      <c r="G72" s="4">
        <v>36000</v>
      </c>
    </row>
    <row r="73" spans="2:17" x14ac:dyDescent="0.15">
      <c r="B73" s="2" t="s">
        <v>163</v>
      </c>
      <c r="C73" s="4" t="s">
        <v>21</v>
      </c>
      <c r="D73" s="4">
        <v>14000</v>
      </c>
      <c r="E73" s="6">
        <v>80</v>
      </c>
      <c r="F73" s="4">
        <v>1</v>
      </c>
      <c r="G73" s="4">
        <v>36000</v>
      </c>
    </row>
    <row r="74" spans="2:17" x14ac:dyDescent="0.15">
      <c r="B74" s="2" t="s">
        <v>164</v>
      </c>
      <c r="C74" s="4" t="s">
        <v>20</v>
      </c>
      <c r="D74" s="4">
        <v>13000</v>
      </c>
      <c r="E74" s="6">
        <v>80</v>
      </c>
      <c r="F74" s="4">
        <v>1</v>
      </c>
      <c r="G74" s="4">
        <v>36000</v>
      </c>
    </row>
    <row r="75" spans="2:17" x14ac:dyDescent="0.15">
      <c r="B75" s="2" t="s">
        <v>165</v>
      </c>
      <c r="C75" s="4" t="s">
        <v>19</v>
      </c>
      <c r="D75" s="4">
        <v>13000</v>
      </c>
      <c r="E75" s="6">
        <v>80</v>
      </c>
      <c r="F75" s="4">
        <v>1</v>
      </c>
      <c r="G75" s="4">
        <v>36000</v>
      </c>
    </row>
    <row r="76" spans="2:17" x14ac:dyDescent="0.15">
      <c r="B76" s="2" t="s">
        <v>166</v>
      </c>
      <c r="C76" s="4" t="s">
        <v>18</v>
      </c>
      <c r="D76" s="4">
        <v>13000</v>
      </c>
      <c r="E76" s="6">
        <v>80</v>
      </c>
      <c r="F76" s="4">
        <v>1</v>
      </c>
      <c r="G76" s="4">
        <v>36000</v>
      </c>
    </row>
    <row r="77" spans="2:17" x14ac:dyDescent="0.15">
      <c r="B77" s="2" t="s">
        <v>167</v>
      </c>
      <c r="C77" s="4" t="s">
        <v>17</v>
      </c>
      <c r="D77" s="4">
        <v>13000</v>
      </c>
      <c r="E77" s="6">
        <v>80</v>
      </c>
      <c r="F77" s="4">
        <v>1</v>
      </c>
      <c r="G77" s="4">
        <v>36000</v>
      </c>
    </row>
    <row r="78" spans="2:17" x14ac:dyDescent="0.15">
      <c r="B78" s="2" t="s">
        <v>168</v>
      </c>
      <c r="C78" s="4" t="s">
        <v>16</v>
      </c>
      <c r="D78" s="4">
        <v>15000</v>
      </c>
      <c r="E78" s="6">
        <v>100</v>
      </c>
      <c r="F78" s="4">
        <v>0</v>
      </c>
      <c r="G78" s="2" t="s">
        <v>93</v>
      </c>
    </row>
    <row r="79" spans="2:17" x14ac:dyDescent="0.15">
      <c r="B79" s="2" t="s">
        <v>169</v>
      </c>
      <c r="C79" s="4" t="s">
        <v>15</v>
      </c>
      <c r="D79" s="4">
        <v>15000</v>
      </c>
      <c r="E79" s="6">
        <v>100</v>
      </c>
      <c r="F79" s="4">
        <v>0</v>
      </c>
      <c r="G79" s="2" t="s">
        <v>93</v>
      </c>
    </row>
    <row r="80" spans="2:17" x14ac:dyDescent="0.15">
      <c r="B80" s="2" t="s">
        <v>170</v>
      </c>
      <c r="C80" s="4" t="s">
        <v>14</v>
      </c>
      <c r="D80" s="4">
        <v>15000</v>
      </c>
      <c r="E80" s="6">
        <v>100</v>
      </c>
      <c r="F80" s="4">
        <v>0</v>
      </c>
      <c r="G80" s="2" t="s">
        <v>93</v>
      </c>
    </row>
    <row r="81" spans="2:7" x14ac:dyDescent="0.15">
      <c r="B81" s="2" t="s">
        <v>171</v>
      </c>
      <c r="C81" s="4" t="s">
        <v>13</v>
      </c>
      <c r="D81" s="4">
        <v>15000</v>
      </c>
      <c r="E81" s="6">
        <v>100</v>
      </c>
      <c r="F81" s="4">
        <v>0</v>
      </c>
      <c r="G81" s="2" t="s">
        <v>93</v>
      </c>
    </row>
    <row r="82" spans="2:7" x14ac:dyDescent="0.15">
      <c r="B82" s="2" t="s">
        <v>172</v>
      </c>
      <c r="C82" s="4" t="s">
        <v>12</v>
      </c>
      <c r="D82" s="4">
        <v>15000</v>
      </c>
      <c r="E82" s="6">
        <v>120</v>
      </c>
      <c r="F82" s="4">
        <v>0</v>
      </c>
      <c r="G82" s="2" t="s">
        <v>93</v>
      </c>
    </row>
    <row r="83" spans="2:7" x14ac:dyDescent="0.15">
      <c r="B83" s="2" t="s">
        <v>173</v>
      </c>
      <c r="C83" s="4" t="s">
        <v>11</v>
      </c>
      <c r="D83" s="4">
        <v>15000</v>
      </c>
      <c r="E83" s="6">
        <v>120</v>
      </c>
      <c r="F83" s="4">
        <v>0</v>
      </c>
      <c r="G83" s="2" t="s">
        <v>93</v>
      </c>
    </row>
    <row r="84" spans="2:7" x14ac:dyDescent="0.15">
      <c r="B84" s="2" t="s">
        <v>174</v>
      </c>
      <c r="C84" s="4" t="s">
        <v>10</v>
      </c>
      <c r="D84" s="4">
        <v>15000</v>
      </c>
      <c r="E84" s="6">
        <v>120</v>
      </c>
      <c r="F84" s="4">
        <v>0</v>
      </c>
      <c r="G84" s="2" t="s">
        <v>93</v>
      </c>
    </row>
    <row r="85" spans="2:7" x14ac:dyDescent="0.15">
      <c r="B85" s="2" t="s">
        <v>175</v>
      </c>
      <c r="C85" s="4" t="s">
        <v>9</v>
      </c>
      <c r="D85" s="4">
        <v>15000</v>
      </c>
      <c r="E85" s="6">
        <v>120</v>
      </c>
      <c r="F85" s="4">
        <v>0</v>
      </c>
      <c r="G85" s="2" t="s">
        <v>93</v>
      </c>
    </row>
  </sheetData>
  <sortState xmlns:xlrd2="http://schemas.microsoft.com/office/spreadsheetml/2017/richdata2" ref="B6:G85">
    <sortCondition descending="1" ref="B6:B85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E020-2224-4225-B642-19BB7AC638D5}">
  <dimension ref="A1:Y135"/>
  <sheetViews>
    <sheetView tabSelected="1" workbookViewId="0">
      <selection activeCell="E6" sqref="E6"/>
    </sheetView>
  </sheetViews>
  <sheetFormatPr defaultColWidth="9" defaultRowHeight="13.5" x14ac:dyDescent="0.15"/>
  <cols>
    <col min="1" max="1" width="6.375" style="2" bestFit="1" customWidth="1"/>
    <col min="2" max="2" width="5.75" style="2" bestFit="1" customWidth="1"/>
    <col min="3" max="3" width="9.125" style="2" bestFit="1" customWidth="1"/>
    <col min="4" max="4" width="13.25" style="2" bestFit="1" customWidth="1"/>
    <col min="5" max="5" width="9.875" style="2" customWidth="1"/>
    <col min="6" max="6" width="7.375" style="2" bestFit="1" customWidth="1"/>
    <col min="7" max="7" width="12.875" style="2" bestFit="1" customWidth="1"/>
    <col min="8" max="8" width="14.125" style="2" bestFit="1" customWidth="1"/>
    <col min="9" max="9" width="15.25" style="2" bestFit="1" customWidth="1"/>
    <col min="10" max="10" width="20.125" style="2" bestFit="1" customWidth="1"/>
    <col min="11" max="11" width="16.5" style="2" bestFit="1" customWidth="1"/>
    <col min="12" max="12" width="15.25" style="2" bestFit="1" customWidth="1"/>
    <col min="13" max="13" width="15.25" style="2" customWidth="1"/>
    <col min="14" max="14" width="8.375" style="2" customWidth="1"/>
    <col min="15" max="15" width="6.125" style="2" customWidth="1"/>
    <col min="16" max="16" width="60.5" style="2" customWidth="1"/>
    <col min="17" max="17" width="14.125" style="2" bestFit="1" customWidth="1"/>
    <col min="18" max="18" width="15.25" style="2" bestFit="1" customWidth="1"/>
    <col min="19" max="19" width="20.125" style="2" bestFit="1" customWidth="1"/>
    <col min="20" max="20" width="16.5" style="2" bestFit="1" customWidth="1"/>
    <col min="21" max="21" width="15.25" style="2" bestFit="1" customWidth="1"/>
    <col min="22" max="22" width="12.875" style="2" bestFit="1" customWidth="1"/>
    <col min="23" max="16384" width="9" style="2"/>
  </cols>
  <sheetData>
    <row r="1" spans="1:25" s="10" customFormat="1" ht="59.25" customHeight="1" x14ac:dyDescent="0.15">
      <c r="A1" s="12"/>
      <c r="B1" s="9" t="s">
        <v>3</v>
      </c>
      <c r="C1" s="9" t="s">
        <v>4</v>
      </c>
      <c r="D1" s="13" t="s">
        <v>5</v>
      </c>
      <c r="E1" s="9" t="s">
        <v>6</v>
      </c>
      <c r="F1" s="13" t="s">
        <v>7</v>
      </c>
      <c r="G1" s="13" t="s">
        <v>8</v>
      </c>
      <c r="H1" s="13" t="s">
        <v>190</v>
      </c>
      <c r="I1" s="13" t="s">
        <v>192</v>
      </c>
      <c r="J1" s="13" t="s">
        <v>193</v>
      </c>
      <c r="K1" s="13" t="s">
        <v>194</v>
      </c>
      <c r="L1" s="13" t="s">
        <v>195</v>
      </c>
      <c r="M1" s="13" t="s">
        <v>205</v>
      </c>
      <c r="N1" s="13" t="s">
        <v>206</v>
      </c>
      <c r="O1" s="13"/>
      <c r="P1" s="13" t="s">
        <v>191</v>
      </c>
      <c r="Q1" s="13" t="s">
        <v>201</v>
      </c>
      <c r="R1" s="13" t="s">
        <v>200</v>
      </c>
      <c r="S1" s="13" t="s">
        <v>199</v>
      </c>
      <c r="T1" s="13" t="s">
        <v>198</v>
      </c>
      <c r="U1" s="13" t="s">
        <v>197</v>
      </c>
      <c r="V1" s="9" t="s">
        <v>196</v>
      </c>
      <c r="W1" s="7"/>
      <c r="X1" s="9"/>
      <c r="Y1" s="7"/>
    </row>
    <row r="2" spans="1:25" s="1" customFormat="1" ht="25.5" customHeight="1" x14ac:dyDescent="0.15">
      <c r="A2" s="1" t="s">
        <v>0</v>
      </c>
      <c r="B2" s="2"/>
      <c r="C2" s="2"/>
      <c r="D2"/>
      <c r="E2" s="2"/>
      <c r="F2"/>
      <c r="G2"/>
      <c r="H2"/>
      <c r="I2" s="2"/>
      <c r="J2" s="2"/>
      <c r="K2" s="2"/>
      <c r="L2" s="2"/>
      <c r="M2" s="2"/>
      <c r="N2" s="2"/>
      <c r="O2" s="2"/>
      <c r="P2"/>
      <c r="Q2"/>
      <c r="R2" s="2"/>
      <c r="S2" s="2"/>
      <c r="T2" s="2"/>
      <c r="U2" s="2"/>
      <c r="V2" s="2"/>
      <c r="W2" s="2"/>
      <c r="X2" s="2"/>
      <c r="Y2" s="2"/>
    </row>
    <row r="3" spans="1:25" s="5" customFormat="1" ht="33" customHeight="1" x14ac:dyDescent="0.15">
      <c r="A3" s="5" t="s">
        <v>1</v>
      </c>
      <c r="B3" s="8" t="s">
        <v>90</v>
      </c>
      <c r="C3" s="8" t="s">
        <v>2</v>
      </c>
      <c r="D3" s="8" t="s">
        <v>91</v>
      </c>
      <c r="E3" s="8" t="s">
        <v>94</v>
      </c>
      <c r="F3" s="8" t="s">
        <v>95</v>
      </c>
      <c r="G3" s="8" t="s">
        <v>92</v>
      </c>
      <c r="H3" s="8" t="s">
        <v>181</v>
      </c>
      <c r="I3" s="8" t="s">
        <v>182</v>
      </c>
      <c r="J3" s="8" t="s">
        <v>183</v>
      </c>
      <c r="K3" s="8" t="s">
        <v>184</v>
      </c>
      <c r="L3" s="8" t="s">
        <v>185</v>
      </c>
      <c r="M3" s="8" t="s">
        <v>202</v>
      </c>
      <c r="N3" s="8" t="s">
        <v>203</v>
      </c>
      <c r="O3" s="8" t="s">
        <v>204</v>
      </c>
      <c r="P3" s="8" t="s">
        <v>178</v>
      </c>
      <c r="Q3" s="8" t="s">
        <v>179</v>
      </c>
      <c r="R3" s="8" t="s">
        <v>180</v>
      </c>
      <c r="S3" s="8" t="s">
        <v>186</v>
      </c>
      <c r="T3" s="8" t="s">
        <v>187</v>
      </c>
      <c r="U3" s="8" t="s">
        <v>188</v>
      </c>
      <c r="V3" s="8" t="s">
        <v>189</v>
      </c>
      <c r="W3" s="8"/>
      <c r="X3" s="8"/>
      <c r="Y3" s="8"/>
    </row>
    <row r="4" spans="1:25" s="11" customFormat="1" ht="15.75" customHeight="1" x14ac:dyDescent="0.15">
      <c r="A4" s="5" t="s">
        <v>1</v>
      </c>
      <c r="B4" s="11" t="s">
        <v>176</v>
      </c>
      <c r="C4" s="11" t="s">
        <v>207</v>
      </c>
      <c r="D4" s="14" t="s">
        <v>176</v>
      </c>
      <c r="E4" s="14" t="s">
        <v>176</v>
      </c>
      <c r="F4" s="14" t="s">
        <v>176</v>
      </c>
      <c r="G4" s="14" t="s">
        <v>176</v>
      </c>
      <c r="H4" s="14" t="s">
        <v>176</v>
      </c>
      <c r="I4" s="14" t="s">
        <v>176</v>
      </c>
      <c r="J4" s="14" t="s">
        <v>176</v>
      </c>
      <c r="K4" s="14" t="s">
        <v>176</v>
      </c>
      <c r="L4" s="14" t="s">
        <v>176</v>
      </c>
      <c r="M4" s="11" t="s">
        <v>208</v>
      </c>
      <c r="N4" s="11" t="s">
        <v>208</v>
      </c>
      <c r="O4" s="11" t="s">
        <v>209</v>
      </c>
      <c r="P4" s="14" t="s">
        <v>207</v>
      </c>
      <c r="Q4" s="14" t="s">
        <v>176</v>
      </c>
      <c r="R4" s="14" t="s">
        <v>176</v>
      </c>
      <c r="S4" s="14" t="s">
        <v>176</v>
      </c>
      <c r="T4" s="14" t="s">
        <v>176</v>
      </c>
      <c r="U4" s="14" t="s">
        <v>176</v>
      </c>
      <c r="V4" s="14" t="s">
        <v>176</v>
      </c>
    </row>
    <row r="5" spans="1:25" x14ac:dyDescent="0.15">
      <c r="B5" s="2" t="s">
        <v>93</v>
      </c>
      <c r="C5" s="2" t="s">
        <v>89</v>
      </c>
      <c r="D5" s="2" t="s">
        <v>210</v>
      </c>
      <c r="E5" s="2">
        <v>5</v>
      </c>
      <c r="F5" s="2" t="s">
        <v>434</v>
      </c>
      <c r="G5" s="2" t="s">
        <v>211</v>
      </c>
    </row>
    <row r="6" spans="1:25" x14ac:dyDescent="0.15">
      <c r="B6" s="2">
        <v>1</v>
      </c>
      <c r="C6" s="2" t="s">
        <v>212</v>
      </c>
      <c r="D6" s="2">
        <f>$D$5+(15-F6)*300</f>
        <v>4800</v>
      </c>
      <c r="E6" s="2">
        <f>$E$5+(15-F6)*3</f>
        <v>8</v>
      </c>
      <c r="F6" s="2">
        <v>14</v>
      </c>
      <c r="G6" s="2">
        <v>1000</v>
      </c>
      <c r="H6" s="4">
        <v>0</v>
      </c>
      <c r="I6" s="4">
        <v>0</v>
      </c>
      <c r="J6" s="2">
        <v>3</v>
      </c>
      <c r="K6" s="4">
        <v>4</v>
      </c>
      <c r="L6" s="4">
        <v>2</v>
      </c>
      <c r="M6" s="4"/>
      <c r="N6" s="4"/>
      <c r="O6" s="4"/>
      <c r="P6" s="4" t="s">
        <v>213</v>
      </c>
      <c r="Q6" s="4">
        <v>0</v>
      </c>
      <c r="R6" s="4">
        <v>0</v>
      </c>
      <c r="S6" s="2">
        <v>25</v>
      </c>
      <c r="T6" s="4">
        <v>30</v>
      </c>
      <c r="U6" s="4">
        <v>0</v>
      </c>
      <c r="V6" s="4">
        <v>5</v>
      </c>
      <c r="X6" s="4"/>
    </row>
    <row r="7" spans="1:25" x14ac:dyDescent="0.15">
      <c r="A7" s="3"/>
      <c r="B7" s="2">
        <v>2</v>
      </c>
      <c r="C7" s="2" t="s">
        <v>214</v>
      </c>
      <c r="D7" s="2">
        <f t="shared" ref="D7:D70" si="0">$D$5+(15-F7)*300</f>
        <v>4800</v>
      </c>
      <c r="E7" s="2">
        <f t="shared" ref="E7:E70" si="1">$E$5+(15-F7)*3</f>
        <v>8</v>
      </c>
      <c r="F7" s="2">
        <v>14</v>
      </c>
      <c r="G7" s="2">
        <v>1000</v>
      </c>
      <c r="H7" s="4">
        <v>0</v>
      </c>
      <c r="I7" s="4">
        <v>0</v>
      </c>
      <c r="J7" s="2">
        <v>3</v>
      </c>
      <c r="K7" s="4">
        <v>4</v>
      </c>
      <c r="L7" s="4">
        <v>2</v>
      </c>
      <c r="M7" s="4"/>
      <c r="N7" s="4"/>
      <c r="O7" s="4"/>
      <c r="P7" s="4" t="s">
        <v>215</v>
      </c>
      <c r="Q7" s="4">
        <v>0</v>
      </c>
      <c r="R7" s="4">
        <v>0</v>
      </c>
      <c r="S7" s="2">
        <v>25</v>
      </c>
      <c r="T7" s="4">
        <v>30</v>
      </c>
      <c r="U7" s="4">
        <v>0</v>
      </c>
      <c r="V7" s="4">
        <v>5</v>
      </c>
      <c r="X7" s="4"/>
    </row>
    <row r="8" spans="1:25" x14ac:dyDescent="0.15">
      <c r="B8" s="2">
        <v>3</v>
      </c>
      <c r="C8" s="2" t="s">
        <v>216</v>
      </c>
      <c r="D8" s="2">
        <f t="shared" si="0"/>
        <v>4800</v>
      </c>
      <c r="E8" s="2">
        <f t="shared" si="1"/>
        <v>8</v>
      </c>
      <c r="F8" s="2">
        <v>14</v>
      </c>
      <c r="G8" s="2">
        <v>1000</v>
      </c>
      <c r="H8" s="4">
        <v>0</v>
      </c>
      <c r="I8" s="4">
        <v>0</v>
      </c>
      <c r="J8" s="2">
        <v>3</v>
      </c>
      <c r="K8" s="4">
        <v>4</v>
      </c>
      <c r="L8" s="4">
        <v>2</v>
      </c>
      <c r="M8" s="4"/>
      <c r="N8" s="4"/>
      <c r="O8" s="4"/>
      <c r="P8" s="4" t="s">
        <v>217</v>
      </c>
      <c r="Q8" s="4">
        <v>0</v>
      </c>
      <c r="R8" s="4">
        <v>0</v>
      </c>
      <c r="S8" s="2">
        <v>25</v>
      </c>
      <c r="T8" s="4">
        <v>30</v>
      </c>
      <c r="U8" s="4">
        <v>0</v>
      </c>
      <c r="V8" s="4">
        <v>5</v>
      </c>
      <c r="X8" s="4"/>
    </row>
    <row r="9" spans="1:25" x14ac:dyDescent="0.15">
      <c r="B9" s="2">
        <v>4</v>
      </c>
      <c r="C9" s="2" t="s">
        <v>218</v>
      </c>
      <c r="D9" s="2">
        <f t="shared" si="0"/>
        <v>4800</v>
      </c>
      <c r="E9" s="2">
        <f t="shared" si="1"/>
        <v>8</v>
      </c>
      <c r="F9" s="2">
        <v>14</v>
      </c>
      <c r="G9" s="2">
        <v>1000</v>
      </c>
      <c r="H9" s="4">
        <v>0</v>
      </c>
      <c r="I9" s="4">
        <v>0</v>
      </c>
      <c r="J9" s="2">
        <v>3</v>
      </c>
      <c r="K9" s="4">
        <v>4</v>
      </c>
      <c r="L9" s="4">
        <v>2</v>
      </c>
      <c r="M9" s="4"/>
      <c r="N9" s="4"/>
      <c r="O9" s="4"/>
      <c r="P9" s="4" t="s">
        <v>219</v>
      </c>
      <c r="Q9" s="4">
        <v>0</v>
      </c>
      <c r="R9" s="4">
        <v>0</v>
      </c>
      <c r="S9" s="2">
        <v>25</v>
      </c>
      <c r="T9" s="4">
        <v>30</v>
      </c>
      <c r="U9" s="4">
        <v>0</v>
      </c>
      <c r="V9" s="4">
        <v>5</v>
      </c>
      <c r="X9" s="4"/>
    </row>
    <row r="10" spans="1:25" x14ac:dyDescent="0.15">
      <c r="B10" s="2">
        <v>5</v>
      </c>
      <c r="C10" s="2" t="s">
        <v>220</v>
      </c>
      <c r="D10" s="2">
        <f t="shared" si="0"/>
        <v>4800</v>
      </c>
      <c r="E10" s="2">
        <f t="shared" si="1"/>
        <v>8</v>
      </c>
      <c r="F10" s="2">
        <v>14</v>
      </c>
      <c r="G10" s="2">
        <v>1000</v>
      </c>
      <c r="H10" s="4">
        <v>0</v>
      </c>
      <c r="I10" s="4">
        <v>0</v>
      </c>
      <c r="J10" s="2">
        <v>3</v>
      </c>
      <c r="K10" s="4">
        <v>4</v>
      </c>
      <c r="L10" s="4">
        <v>2</v>
      </c>
      <c r="M10" s="4"/>
      <c r="N10" s="4"/>
      <c r="O10" s="4"/>
      <c r="P10" s="4" t="s">
        <v>221</v>
      </c>
      <c r="Q10" s="4">
        <v>0</v>
      </c>
      <c r="R10" s="4">
        <v>0</v>
      </c>
      <c r="S10" s="2">
        <v>25</v>
      </c>
      <c r="T10" s="4">
        <v>30</v>
      </c>
      <c r="U10" s="4">
        <v>0</v>
      </c>
      <c r="V10" s="4">
        <v>5</v>
      </c>
      <c r="X10" s="4"/>
    </row>
    <row r="11" spans="1:25" x14ac:dyDescent="0.15">
      <c r="B11" s="2">
        <v>6</v>
      </c>
      <c r="C11" s="2" t="s">
        <v>222</v>
      </c>
      <c r="D11" s="2">
        <f t="shared" si="0"/>
        <v>4800</v>
      </c>
      <c r="E11" s="2">
        <f t="shared" si="1"/>
        <v>8</v>
      </c>
      <c r="F11" s="2">
        <v>14</v>
      </c>
      <c r="G11" s="2">
        <v>1000</v>
      </c>
      <c r="H11" s="4">
        <v>1</v>
      </c>
      <c r="I11" s="4">
        <v>1</v>
      </c>
      <c r="J11" s="2">
        <v>0</v>
      </c>
      <c r="K11" s="4">
        <v>0</v>
      </c>
      <c r="L11" s="4">
        <v>0</v>
      </c>
      <c r="M11" s="4"/>
      <c r="N11" s="4"/>
      <c r="O11" s="4"/>
      <c r="P11" s="4" t="s">
        <v>223</v>
      </c>
      <c r="Q11" s="4">
        <v>20</v>
      </c>
      <c r="R11" s="4">
        <v>25</v>
      </c>
      <c r="S11" s="2">
        <v>0</v>
      </c>
      <c r="T11" s="4">
        <v>0</v>
      </c>
      <c r="U11" s="4">
        <v>0</v>
      </c>
      <c r="V11" s="4">
        <v>5</v>
      </c>
      <c r="X11" s="4"/>
    </row>
    <row r="12" spans="1:25" x14ac:dyDescent="0.15">
      <c r="B12" s="2">
        <v>7</v>
      </c>
      <c r="C12" s="2" t="s">
        <v>224</v>
      </c>
      <c r="D12" s="2">
        <f t="shared" si="0"/>
        <v>4800</v>
      </c>
      <c r="E12" s="2">
        <f t="shared" si="1"/>
        <v>8</v>
      </c>
      <c r="F12" s="2">
        <v>14</v>
      </c>
      <c r="G12" s="2">
        <v>1000</v>
      </c>
      <c r="H12" s="4">
        <v>1</v>
      </c>
      <c r="I12" s="4">
        <v>1</v>
      </c>
      <c r="J12" s="2">
        <v>0</v>
      </c>
      <c r="K12" s="4">
        <v>0</v>
      </c>
      <c r="L12" s="4">
        <v>0</v>
      </c>
      <c r="M12" s="4"/>
      <c r="N12" s="4"/>
      <c r="O12" s="4"/>
      <c r="P12" s="4" t="s">
        <v>225</v>
      </c>
      <c r="Q12" s="4">
        <v>20</v>
      </c>
      <c r="R12" s="4">
        <v>25</v>
      </c>
      <c r="S12" s="2">
        <v>0</v>
      </c>
      <c r="T12" s="4">
        <v>0</v>
      </c>
      <c r="U12" s="4">
        <v>0</v>
      </c>
      <c r="V12" s="4">
        <v>5</v>
      </c>
      <c r="X12" s="4"/>
    </row>
    <row r="13" spans="1:25" x14ac:dyDescent="0.15">
      <c r="B13" s="2">
        <v>8</v>
      </c>
      <c r="C13" s="2" t="s">
        <v>226</v>
      </c>
      <c r="D13" s="2">
        <f t="shared" si="0"/>
        <v>4800</v>
      </c>
      <c r="E13" s="2">
        <f t="shared" si="1"/>
        <v>8</v>
      </c>
      <c r="F13" s="2">
        <v>14</v>
      </c>
      <c r="G13" s="2">
        <v>1000</v>
      </c>
      <c r="H13" s="4">
        <v>1</v>
      </c>
      <c r="I13" s="4">
        <v>1</v>
      </c>
      <c r="J13" s="2">
        <v>0</v>
      </c>
      <c r="K13" s="4">
        <v>0</v>
      </c>
      <c r="L13" s="4">
        <v>0</v>
      </c>
      <c r="M13" s="4"/>
      <c r="N13" s="4"/>
      <c r="O13" s="4"/>
      <c r="P13" s="4" t="s">
        <v>227</v>
      </c>
      <c r="Q13" s="4">
        <v>20</v>
      </c>
      <c r="R13" s="4">
        <v>25</v>
      </c>
      <c r="S13" s="2">
        <v>0</v>
      </c>
      <c r="T13" s="4">
        <v>0</v>
      </c>
      <c r="U13" s="4">
        <v>0</v>
      </c>
      <c r="V13" s="4">
        <v>5</v>
      </c>
      <c r="X13" s="4"/>
    </row>
    <row r="14" spans="1:25" x14ac:dyDescent="0.15">
      <c r="B14" s="2">
        <v>9</v>
      </c>
      <c r="C14" s="2" t="s">
        <v>228</v>
      </c>
      <c r="D14" s="2">
        <f t="shared" si="0"/>
        <v>5100</v>
      </c>
      <c r="E14" s="2">
        <f t="shared" si="1"/>
        <v>11</v>
      </c>
      <c r="F14" s="2">
        <v>13</v>
      </c>
      <c r="G14" s="4">
        <v>1500</v>
      </c>
      <c r="H14" s="4">
        <v>0</v>
      </c>
      <c r="I14" s="4">
        <v>0</v>
      </c>
      <c r="J14" s="2">
        <v>3</v>
      </c>
      <c r="K14" s="4">
        <v>4</v>
      </c>
      <c r="L14" s="4">
        <v>2</v>
      </c>
      <c r="M14" s="4"/>
      <c r="N14" s="4"/>
      <c r="O14" s="4"/>
      <c r="P14" s="4" t="s">
        <v>229</v>
      </c>
      <c r="Q14" s="4">
        <v>0</v>
      </c>
      <c r="R14" s="4">
        <v>0</v>
      </c>
      <c r="S14" s="2">
        <v>28</v>
      </c>
      <c r="T14" s="4">
        <v>33</v>
      </c>
      <c r="U14" s="4">
        <v>0</v>
      </c>
      <c r="V14" s="4">
        <v>8</v>
      </c>
      <c r="X14" s="4"/>
    </row>
    <row r="15" spans="1:25" x14ac:dyDescent="0.15">
      <c r="B15" s="2">
        <v>10</v>
      </c>
      <c r="C15" s="2" t="s">
        <v>230</v>
      </c>
      <c r="D15" s="2">
        <f t="shared" si="0"/>
        <v>5100</v>
      </c>
      <c r="E15" s="2">
        <f t="shared" si="1"/>
        <v>11</v>
      </c>
      <c r="F15" s="2">
        <v>13</v>
      </c>
      <c r="G15" s="4">
        <v>1500</v>
      </c>
      <c r="H15" s="4">
        <v>0</v>
      </c>
      <c r="I15" s="4">
        <v>0</v>
      </c>
      <c r="J15" s="2">
        <v>3</v>
      </c>
      <c r="K15" s="4">
        <v>4</v>
      </c>
      <c r="L15" s="4">
        <v>2</v>
      </c>
      <c r="M15" s="4"/>
      <c r="N15" s="4"/>
      <c r="O15" s="4"/>
      <c r="P15" s="4" t="s">
        <v>231</v>
      </c>
      <c r="Q15" s="4">
        <v>0</v>
      </c>
      <c r="R15" s="4">
        <v>0</v>
      </c>
      <c r="S15" s="2">
        <v>28</v>
      </c>
      <c r="T15" s="4">
        <v>33</v>
      </c>
      <c r="U15" s="4">
        <v>0</v>
      </c>
      <c r="V15" s="4">
        <v>8</v>
      </c>
      <c r="X15" s="4"/>
    </row>
    <row r="16" spans="1:25" x14ac:dyDescent="0.15">
      <c r="B16" s="2">
        <v>11</v>
      </c>
      <c r="C16" s="2" t="s">
        <v>232</v>
      </c>
      <c r="D16" s="2">
        <f t="shared" si="0"/>
        <v>5100</v>
      </c>
      <c r="E16" s="2">
        <f t="shared" si="1"/>
        <v>11</v>
      </c>
      <c r="F16" s="2">
        <v>13</v>
      </c>
      <c r="G16" s="4">
        <v>1500</v>
      </c>
      <c r="H16" s="4">
        <v>0</v>
      </c>
      <c r="I16" s="4">
        <v>0</v>
      </c>
      <c r="J16" s="2">
        <v>3</v>
      </c>
      <c r="K16" s="4">
        <v>4</v>
      </c>
      <c r="L16" s="4">
        <v>2</v>
      </c>
      <c r="M16" s="4"/>
      <c r="N16" s="4"/>
      <c r="O16" s="4"/>
      <c r="P16" s="4" t="s">
        <v>233</v>
      </c>
      <c r="Q16" s="4">
        <v>0</v>
      </c>
      <c r="R16" s="4">
        <v>0</v>
      </c>
      <c r="S16" s="2">
        <v>28</v>
      </c>
      <c r="T16" s="4">
        <v>33</v>
      </c>
      <c r="U16" s="4">
        <v>0</v>
      </c>
      <c r="V16" s="4">
        <v>8</v>
      </c>
      <c r="X16" s="4"/>
    </row>
    <row r="17" spans="2:24" x14ac:dyDescent="0.15">
      <c r="B17" s="2">
        <v>12</v>
      </c>
      <c r="C17" s="2" t="s">
        <v>234</v>
      </c>
      <c r="D17" s="2">
        <f t="shared" si="0"/>
        <v>5100</v>
      </c>
      <c r="E17" s="2">
        <f t="shared" si="1"/>
        <v>11</v>
      </c>
      <c r="F17" s="2">
        <v>13</v>
      </c>
      <c r="G17" s="4">
        <v>1500</v>
      </c>
      <c r="H17" s="4">
        <v>0</v>
      </c>
      <c r="I17" s="4">
        <v>0</v>
      </c>
      <c r="J17" s="2">
        <v>3</v>
      </c>
      <c r="K17" s="4">
        <v>4</v>
      </c>
      <c r="L17" s="4">
        <v>2</v>
      </c>
      <c r="M17" s="4"/>
      <c r="N17" s="4"/>
      <c r="O17" s="4"/>
      <c r="P17" s="4" t="s">
        <v>235</v>
      </c>
      <c r="Q17" s="4">
        <v>0</v>
      </c>
      <c r="R17" s="4">
        <v>0</v>
      </c>
      <c r="S17" s="2">
        <v>28</v>
      </c>
      <c r="T17" s="4">
        <v>33</v>
      </c>
      <c r="U17" s="4">
        <v>0</v>
      </c>
      <c r="V17" s="4">
        <v>8</v>
      </c>
      <c r="X17" s="4"/>
    </row>
    <row r="18" spans="2:24" x14ac:dyDescent="0.15">
      <c r="B18" s="2">
        <v>13</v>
      </c>
      <c r="C18" s="2" t="s">
        <v>236</v>
      </c>
      <c r="D18" s="2">
        <f t="shared" si="0"/>
        <v>5100</v>
      </c>
      <c r="E18" s="2">
        <f t="shared" si="1"/>
        <v>11</v>
      </c>
      <c r="F18" s="2">
        <v>13</v>
      </c>
      <c r="G18" s="4">
        <v>1500</v>
      </c>
      <c r="H18" s="4">
        <v>0</v>
      </c>
      <c r="I18" s="4">
        <v>0</v>
      </c>
      <c r="J18" s="2">
        <v>3</v>
      </c>
      <c r="K18" s="4">
        <v>4</v>
      </c>
      <c r="L18" s="4">
        <v>2</v>
      </c>
      <c r="M18" s="4"/>
      <c r="N18" s="4"/>
      <c r="O18" s="4"/>
      <c r="P18" s="4" t="s">
        <v>237</v>
      </c>
      <c r="Q18" s="4">
        <v>0</v>
      </c>
      <c r="R18" s="4">
        <v>0</v>
      </c>
      <c r="S18" s="2">
        <v>28</v>
      </c>
      <c r="T18" s="4">
        <v>33</v>
      </c>
      <c r="U18" s="4">
        <v>0</v>
      </c>
      <c r="V18" s="4">
        <v>8</v>
      </c>
      <c r="X18" s="4"/>
    </row>
    <row r="19" spans="2:24" x14ac:dyDescent="0.15">
      <c r="B19" s="2">
        <v>14</v>
      </c>
      <c r="C19" s="2" t="s">
        <v>238</v>
      </c>
      <c r="D19" s="2">
        <f t="shared" si="0"/>
        <v>5100</v>
      </c>
      <c r="E19" s="2">
        <f t="shared" si="1"/>
        <v>11</v>
      </c>
      <c r="F19" s="2">
        <v>13</v>
      </c>
      <c r="G19" s="4">
        <v>1500</v>
      </c>
      <c r="H19" s="4">
        <v>1</v>
      </c>
      <c r="I19" s="4">
        <v>1</v>
      </c>
      <c r="J19" s="2">
        <v>0</v>
      </c>
      <c r="K19" s="4">
        <v>0</v>
      </c>
      <c r="L19" s="4">
        <v>0</v>
      </c>
      <c r="M19" s="4"/>
      <c r="N19" s="4"/>
      <c r="O19" s="4"/>
      <c r="P19" s="4" t="s">
        <v>239</v>
      </c>
      <c r="Q19" s="4">
        <v>23</v>
      </c>
      <c r="R19" s="4">
        <v>28</v>
      </c>
      <c r="S19" s="2">
        <v>0</v>
      </c>
      <c r="T19" s="4">
        <v>0</v>
      </c>
      <c r="U19" s="4">
        <v>0</v>
      </c>
      <c r="V19" s="4">
        <v>8</v>
      </c>
      <c r="X19" s="4"/>
    </row>
    <row r="20" spans="2:24" x14ac:dyDescent="0.15">
      <c r="B20" s="2">
        <v>15</v>
      </c>
      <c r="C20" s="2" t="s">
        <v>240</v>
      </c>
      <c r="D20" s="2">
        <f t="shared" si="0"/>
        <v>5100</v>
      </c>
      <c r="E20" s="2">
        <f t="shared" si="1"/>
        <v>11</v>
      </c>
      <c r="F20" s="2">
        <v>13</v>
      </c>
      <c r="G20" s="4">
        <v>1500</v>
      </c>
      <c r="H20" s="4">
        <v>1</v>
      </c>
      <c r="I20" s="4">
        <v>1</v>
      </c>
      <c r="J20" s="2">
        <v>0</v>
      </c>
      <c r="K20" s="4">
        <v>0</v>
      </c>
      <c r="L20" s="4">
        <v>0</v>
      </c>
      <c r="M20" s="4"/>
      <c r="N20" s="4"/>
      <c r="O20" s="4"/>
      <c r="P20" s="4" t="s">
        <v>241</v>
      </c>
      <c r="Q20" s="4">
        <v>23</v>
      </c>
      <c r="R20" s="4">
        <v>28</v>
      </c>
      <c r="S20" s="2">
        <v>0</v>
      </c>
      <c r="T20" s="4">
        <v>0</v>
      </c>
      <c r="U20" s="4">
        <v>0</v>
      </c>
      <c r="V20" s="4">
        <v>8</v>
      </c>
      <c r="X20" s="4"/>
    </row>
    <row r="21" spans="2:24" x14ac:dyDescent="0.15">
      <c r="B21" s="2">
        <v>16</v>
      </c>
      <c r="C21" s="2" t="s">
        <v>242</v>
      </c>
      <c r="D21" s="2">
        <f t="shared" si="0"/>
        <v>5100</v>
      </c>
      <c r="E21" s="2">
        <f t="shared" si="1"/>
        <v>11</v>
      </c>
      <c r="F21" s="2">
        <v>13</v>
      </c>
      <c r="G21" s="4">
        <v>1500</v>
      </c>
      <c r="H21" s="4">
        <v>1</v>
      </c>
      <c r="I21" s="4">
        <v>1</v>
      </c>
      <c r="J21" s="2">
        <v>0</v>
      </c>
      <c r="K21" s="4">
        <v>0</v>
      </c>
      <c r="L21" s="4">
        <v>0</v>
      </c>
      <c r="M21" s="4"/>
      <c r="N21" s="4"/>
      <c r="O21" s="4"/>
      <c r="P21" s="4" t="s">
        <v>243</v>
      </c>
      <c r="Q21" s="4">
        <v>23</v>
      </c>
      <c r="R21" s="4">
        <v>28</v>
      </c>
      <c r="S21" s="2">
        <v>0</v>
      </c>
      <c r="T21" s="4">
        <v>0</v>
      </c>
      <c r="U21" s="4">
        <v>0</v>
      </c>
      <c r="V21" s="4">
        <v>8</v>
      </c>
      <c r="X21" s="4"/>
    </row>
    <row r="22" spans="2:24" x14ac:dyDescent="0.15">
      <c r="B22" s="2">
        <v>17</v>
      </c>
      <c r="C22" s="2" t="s">
        <v>244</v>
      </c>
      <c r="D22" s="2">
        <f t="shared" si="0"/>
        <v>5400</v>
      </c>
      <c r="E22" s="2">
        <f t="shared" si="1"/>
        <v>14</v>
      </c>
      <c r="F22" s="4">
        <v>12</v>
      </c>
      <c r="G22" s="4">
        <v>2200</v>
      </c>
      <c r="H22" s="4">
        <v>0</v>
      </c>
      <c r="I22" s="4">
        <v>0</v>
      </c>
      <c r="J22" s="2">
        <v>4</v>
      </c>
      <c r="K22" s="4">
        <v>5</v>
      </c>
      <c r="L22" s="4">
        <v>3</v>
      </c>
      <c r="M22" s="4"/>
      <c r="N22" s="4"/>
      <c r="O22" s="4"/>
      <c r="P22" s="4" t="s">
        <v>245</v>
      </c>
      <c r="Q22" s="4">
        <v>0</v>
      </c>
      <c r="R22" s="4">
        <v>0</v>
      </c>
      <c r="S22" s="2">
        <v>31</v>
      </c>
      <c r="T22" s="4">
        <v>36</v>
      </c>
      <c r="U22" s="4">
        <v>0</v>
      </c>
      <c r="V22" s="4">
        <v>11</v>
      </c>
      <c r="X22" s="4"/>
    </row>
    <row r="23" spans="2:24" x14ac:dyDescent="0.15">
      <c r="B23" s="2">
        <v>18</v>
      </c>
      <c r="C23" s="2" t="s">
        <v>73</v>
      </c>
      <c r="D23" s="2">
        <f t="shared" si="0"/>
        <v>5400</v>
      </c>
      <c r="E23" s="2">
        <f t="shared" si="1"/>
        <v>14</v>
      </c>
      <c r="F23" s="4">
        <v>12</v>
      </c>
      <c r="G23" s="4">
        <v>2200</v>
      </c>
      <c r="H23" s="4">
        <v>0</v>
      </c>
      <c r="I23" s="4">
        <v>0</v>
      </c>
      <c r="J23" s="2">
        <v>4</v>
      </c>
      <c r="K23" s="4">
        <v>5</v>
      </c>
      <c r="L23" s="4">
        <v>3</v>
      </c>
      <c r="M23" s="4"/>
      <c r="N23" s="4"/>
      <c r="O23" s="4"/>
      <c r="P23" s="4" t="s">
        <v>246</v>
      </c>
      <c r="Q23" s="4">
        <v>0</v>
      </c>
      <c r="R23" s="4">
        <v>0</v>
      </c>
      <c r="S23" s="2">
        <v>31</v>
      </c>
      <c r="T23" s="4">
        <v>36</v>
      </c>
      <c r="U23" s="4">
        <v>0</v>
      </c>
      <c r="V23" s="4">
        <v>11</v>
      </c>
      <c r="X23" s="4"/>
    </row>
    <row r="24" spans="2:24" x14ac:dyDescent="0.15">
      <c r="B24" s="2">
        <v>19</v>
      </c>
      <c r="C24" s="2" t="s">
        <v>247</v>
      </c>
      <c r="D24" s="2">
        <f t="shared" si="0"/>
        <v>5400</v>
      </c>
      <c r="E24" s="2">
        <f t="shared" si="1"/>
        <v>14</v>
      </c>
      <c r="F24" s="4">
        <v>12</v>
      </c>
      <c r="G24" s="4">
        <v>2200</v>
      </c>
      <c r="H24" s="4">
        <v>0</v>
      </c>
      <c r="I24" s="4">
        <v>0</v>
      </c>
      <c r="J24" s="2">
        <v>4</v>
      </c>
      <c r="K24" s="4">
        <v>5</v>
      </c>
      <c r="L24" s="4">
        <v>3</v>
      </c>
      <c r="M24" s="4"/>
      <c r="N24" s="4"/>
      <c r="O24" s="4"/>
      <c r="P24" s="4" t="s">
        <v>248</v>
      </c>
      <c r="Q24" s="4">
        <v>0</v>
      </c>
      <c r="R24" s="4">
        <v>0</v>
      </c>
      <c r="S24" s="2">
        <v>31</v>
      </c>
      <c r="T24" s="4">
        <v>36</v>
      </c>
      <c r="U24" s="4">
        <v>0</v>
      </c>
      <c r="V24" s="4">
        <v>11</v>
      </c>
      <c r="X24" s="4"/>
    </row>
    <row r="25" spans="2:24" x14ac:dyDescent="0.15">
      <c r="B25" s="2">
        <v>20</v>
      </c>
      <c r="C25" s="2" t="s">
        <v>249</v>
      </c>
      <c r="D25" s="2">
        <f t="shared" si="0"/>
        <v>5400</v>
      </c>
      <c r="E25" s="2">
        <f t="shared" si="1"/>
        <v>14</v>
      </c>
      <c r="F25" s="4">
        <v>12</v>
      </c>
      <c r="G25" s="4">
        <v>2200</v>
      </c>
      <c r="H25" s="4">
        <v>0</v>
      </c>
      <c r="I25" s="4">
        <v>0</v>
      </c>
      <c r="J25" s="2">
        <v>4</v>
      </c>
      <c r="K25" s="4">
        <v>5</v>
      </c>
      <c r="L25" s="4">
        <v>3</v>
      </c>
      <c r="M25" s="4"/>
      <c r="N25" s="4"/>
      <c r="O25" s="4"/>
      <c r="P25" s="4" t="s">
        <v>250</v>
      </c>
      <c r="Q25" s="4">
        <v>0</v>
      </c>
      <c r="R25" s="4">
        <v>0</v>
      </c>
      <c r="S25" s="2">
        <v>31</v>
      </c>
      <c r="T25" s="4">
        <v>36</v>
      </c>
      <c r="U25" s="4">
        <v>0</v>
      </c>
      <c r="V25" s="4">
        <v>11</v>
      </c>
      <c r="X25" s="4"/>
    </row>
    <row r="26" spans="2:24" x14ac:dyDescent="0.15">
      <c r="B26" s="2">
        <v>21</v>
      </c>
      <c r="C26" s="2" t="s">
        <v>251</v>
      </c>
      <c r="D26" s="2">
        <f t="shared" si="0"/>
        <v>5400</v>
      </c>
      <c r="E26" s="2">
        <f t="shared" si="1"/>
        <v>14</v>
      </c>
      <c r="F26" s="4">
        <v>12</v>
      </c>
      <c r="G26" s="4">
        <v>2200</v>
      </c>
      <c r="H26" s="4">
        <v>0</v>
      </c>
      <c r="I26" s="4">
        <v>0</v>
      </c>
      <c r="J26" s="2">
        <v>4</v>
      </c>
      <c r="K26" s="4">
        <v>5</v>
      </c>
      <c r="L26" s="4">
        <v>3</v>
      </c>
      <c r="M26" s="4"/>
      <c r="N26" s="4"/>
      <c r="O26" s="4"/>
      <c r="P26" s="4" t="s">
        <v>252</v>
      </c>
      <c r="Q26" s="4">
        <v>0</v>
      </c>
      <c r="R26" s="4">
        <v>0</v>
      </c>
      <c r="S26" s="2">
        <v>31</v>
      </c>
      <c r="T26" s="4">
        <v>36</v>
      </c>
      <c r="U26" s="4">
        <v>0</v>
      </c>
      <c r="V26" s="4">
        <v>11</v>
      </c>
      <c r="X26" s="4"/>
    </row>
    <row r="27" spans="2:24" x14ac:dyDescent="0.15">
      <c r="B27" s="2">
        <v>22</v>
      </c>
      <c r="C27" s="2" t="s">
        <v>253</v>
      </c>
      <c r="D27" s="2">
        <f t="shared" si="0"/>
        <v>5400</v>
      </c>
      <c r="E27" s="2">
        <f t="shared" si="1"/>
        <v>14</v>
      </c>
      <c r="F27" s="4">
        <v>12</v>
      </c>
      <c r="G27" s="4">
        <v>2200</v>
      </c>
      <c r="H27" s="4">
        <v>2</v>
      </c>
      <c r="I27" s="4">
        <v>2</v>
      </c>
      <c r="J27" s="2">
        <v>1</v>
      </c>
      <c r="K27" s="4">
        <v>0</v>
      </c>
      <c r="L27" s="4">
        <v>1</v>
      </c>
      <c r="M27" s="4"/>
      <c r="N27" s="4"/>
      <c r="O27" s="4"/>
      <c r="P27" s="4" t="s">
        <v>254</v>
      </c>
      <c r="Q27" s="4">
        <v>26</v>
      </c>
      <c r="R27" s="4">
        <v>31</v>
      </c>
      <c r="S27" s="2">
        <v>0</v>
      </c>
      <c r="T27" s="4">
        <v>0</v>
      </c>
      <c r="U27" s="4">
        <v>0</v>
      </c>
      <c r="V27" s="4">
        <v>11</v>
      </c>
      <c r="X27" s="4"/>
    </row>
    <row r="28" spans="2:24" x14ac:dyDescent="0.15">
      <c r="B28" s="2">
        <v>23</v>
      </c>
      <c r="C28" s="2" t="s">
        <v>255</v>
      </c>
      <c r="D28" s="2">
        <f t="shared" si="0"/>
        <v>5400</v>
      </c>
      <c r="E28" s="2">
        <f t="shared" si="1"/>
        <v>14</v>
      </c>
      <c r="F28" s="4">
        <v>12</v>
      </c>
      <c r="G28" s="4">
        <v>2200</v>
      </c>
      <c r="H28" s="4">
        <v>2</v>
      </c>
      <c r="I28" s="4">
        <v>2</v>
      </c>
      <c r="J28" s="2">
        <v>1</v>
      </c>
      <c r="K28" s="4">
        <v>0</v>
      </c>
      <c r="L28" s="4">
        <v>1</v>
      </c>
      <c r="M28" s="4"/>
      <c r="N28" s="4"/>
      <c r="O28" s="4"/>
      <c r="P28" s="4" t="s">
        <v>256</v>
      </c>
      <c r="Q28" s="4">
        <v>26</v>
      </c>
      <c r="R28" s="4">
        <v>31</v>
      </c>
      <c r="S28" s="2">
        <v>0</v>
      </c>
      <c r="T28" s="4">
        <v>0</v>
      </c>
      <c r="U28" s="4">
        <v>0</v>
      </c>
      <c r="V28" s="4">
        <v>11</v>
      </c>
      <c r="X28" s="4"/>
    </row>
    <row r="29" spans="2:24" x14ac:dyDescent="0.15">
      <c r="B29" s="2">
        <v>24</v>
      </c>
      <c r="C29" s="2" t="s">
        <v>257</v>
      </c>
      <c r="D29" s="2">
        <f t="shared" si="0"/>
        <v>5400</v>
      </c>
      <c r="E29" s="2">
        <f t="shared" si="1"/>
        <v>14</v>
      </c>
      <c r="F29" s="4">
        <v>12</v>
      </c>
      <c r="G29" s="4">
        <v>2200</v>
      </c>
      <c r="H29" s="4">
        <v>2</v>
      </c>
      <c r="I29" s="4">
        <v>2</v>
      </c>
      <c r="J29" s="2">
        <v>1</v>
      </c>
      <c r="K29" s="4">
        <v>0</v>
      </c>
      <c r="L29" s="4">
        <v>1</v>
      </c>
      <c r="M29" s="4"/>
      <c r="N29" s="4"/>
      <c r="O29" s="4"/>
      <c r="P29" s="4" t="s">
        <v>258</v>
      </c>
      <c r="Q29" s="4">
        <v>26</v>
      </c>
      <c r="R29" s="4">
        <v>31</v>
      </c>
      <c r="S29" s="2">
        <v>0</v>
      </c>
      <c r="T29" s="4">
        <v>0</v>
      </c>
      <c r="U29" s="4">
        <v>0</v>
      </c>
      <c r="V29" s="4">
        <v>11</v>
      </c>
      <c r="X29" s="4"/>
    </row>
    <row r="30" spans="2:24" x14ac:dyDescent="0.15">
      <c r="B30" s="2">
        <v>25</v>
      </c>
      <c r="C30" s="2" t="s">
        <v>259</v>
      </c>
      <c r="D30" s="2">
        <f t="shared" si="0"/>
        <v>5700</v>
      </c>
      <c r="E30" s="2">
        <f t="shared" si="1"/>
        <v>17</v>
      </c>
      <c r="F30" s="4">
        <v>11</v>
      </c>
      <c r="G30" s="4">
        <v>3300</v>
      </c>
      <c r="H30" s="4">
        <v>0</v>
      </c>
      <c r="I30" s="4">
        <v>0</v>
      </c>
      <c r="J30" s="2">
        <v>4</v>
      </c>
      <c r="K30" s="4">
        <v>5</v>
      </c>
      <c r="L30" s="4">
        <v>3</v>
      </c>
      <c r="M30" s="4"/>
      <c r="N30" s="4"/>
      <c r="O30" s="4"/>
      <c r="P30" s="4" t="s">
        <v>260</v>
      </c>
      <c r="Q30" s="4">
        <v>0</v>
      </c>
      <c r="R30" s="4">
        <v>0</v>
      </c>
      <c r="S30" s="2">
        <v>39</v>
      </c>
      <c r="T30" s="4">
        <v>44</v>
      </c>
      <c r="U30" s="4">
        <v>18</v>
      </c>
      <c r="V30" s="4">
        <v>14</v>
      </c>
      <c r="X30" s="4"/>
    </row>
    <row r="31" spans="2:24" x14ac:dyDescent="0.15">
      <c r="B31" s="2">
        <v>26</v>
      </c>
      <c r="C31" s="2" t="s">
        <v>261</v>
      </c>
      <c r="D31" s="2">
        <f t="shared" si="0"/>
        <v>5700</v>
      </c>
      <c r="E31" s="2">
        <f t="shared" si="1"/>
        <v>17</v>
      </c>
      <c r="F31" s="4">
        <v>11</v>
      </c>
      <c r="G31" s="4">
        <v>3300</v>
      </c>
      <c r="H31" s="4">
        <v>0</v>
      </c>
      <c r="I31" s="4">
        <v>0</v>
      </c>
      <c r="J31" s="2">
        <v>4</v>
      </c>
      <c r="K31" s="4">
        <v>5</v>
      </c>
      <c r="L31" s="4">
        <v>3</v>
      </c>
      <c r="M31" s="4"/>
      <c r="N31" s="4"/>
      <c r="O31" s="4"/>
      <c r="P31" s="4" t="s">
        <v>262</v>
      </c>
      <c r="Q31" s="4">
        <v>0</v>
      </c>
      <c r="R31" s="4">
        <v>0</v>
      </c>
      <c r="S31" s="2">
        <v>39</v>
      </c>
      <c r="T31" s="4">
        <v>44</v>
      </c>
      <c r="U31" s="4">
        <v>12</v>
      </c>
      <c r="V31" s="4">
        <v>14</v>
      </c>
      <c r="X31" s="4"/>
    </row>
    <row r="32" spans="2:24" x14ac:dyDescent="0.15">
      <c r="B32" s="2">
        <v>27</v>
      </c>
      <c r="C32" s="2" t="s">
        <v>263</v>
      </c>
      <c r="D32" s="2">
        <f t="shared" si="0"/>
        <v>5700</v>
      </c>
      <c r="E32" s="2">
        <f t="shared" si="1"/>
        <v>17</v>
      </c>
      <c r="F32" s="4">
        <v>11</v>
      </c>
      <c r="G32" s="4">
        <v>3300</v>
      </c>
      <c r="H32" s="4">
        <v>0</v>
      </c>
      <c r="I32" s="4">
        <v>0</v>
      </c>
      <c r="J32" s="2">
        <v>4</v>
      </c>
      <c r="K32" s="4">
        <v>5</v>
      </c>
      <c r="L32" s="4">
        <v>3</v>
      </c>
      <c r="M32" s="4"/>
      <c r="N32" s="4"/>
      <c r="O32" s="4"/>
      <c r="P32" s="4" t="s">
        <v>264</v>
      </c>
      <c r="Q32" s="4">
        <v>0</v>
      </c>
      <c r="R32" s="4">
        <v>0</v>
      </c>
      <c r="S32" s="2">
        <v>39</v>
      </c>
      <c r="T32" s="4">
        <v>44</v>
      </c>
      <c r="U32" s="4">
        <v>0</v>
      </c>
      <c r="V32" s="4">
        <v>14</v>
      </c>
      <c r="X32" s="4"/>
    </row>
    <row r="33" spans="2:24" x14ac:dyDescent="0.15">
      <c r="B33" s="2">
        <v>28</v>
      </c>
      <c r="C33" s="2" t="s">
        <v>265</v>
      </c>
      <c r="D33" s="2">
        <f t="shared" si="0"/>
        <v>5700</v>
      </c>
      <c r="E33" s="2">
        <f t="shared" si="1"/>
        <v>17</v>
      </c>
      <c r="F33" s="4">
        <v>11</v>
      </c>
      <c r="G33" s="4">
        <v>3300</v>
      </c>
      <c r="H33" s="4">
        <v>0</v>
      </c>
      <c r="I33" s="4">
        <v>0</v>
      </c>
      <c r="J33" s="2">
        <v>4</v>
      </c>
      <c r="K33" s="4">
        <v>5</v>
      </c>
      <c r="L33" s="4">
        <v>3</v>
      </c>
      <c r="M33" s="4"/>
      <c r="N33" s="4"/>
      <c r="O33" s="4"/>
      <c r="P33" s="4" t="s">
        <v>266</v>
      </c>
      <c r="Q33" s="4">
        <v>0</v>
      </c>
      <c r="R33" s="4">
        <v>0</v>
      </c>
      <c r="S33" s="2">
        <v>39</v>
      </c>
      <c r="T33" s="4">
        <v>44</v>
      </c>
      <c r="U33" s="4">
        <v>0</v>
      </c>
      <c r="V33" s="4">
        <v>14</v>
      </c>
      <c r="X33" s="4"/>
    </row>
    <row r="34" spans="2:24" x14ac:dyDescent="0.15">
      <c r="B34" s="2">
        <v>29</v>
      </c>
      <c r="C34" s="2" t="s">
        <v>267</v>
      </c>
      <c r="D34" s="2">
        <f t="shared" si="0"/>
        <v>5700</v>
      </c>
      <c r="E34" s="2">
        <f t="shared" si="1"/>
        <v>17</v>
      </c>
      <c r="F34" s="4">
        <v>11</v>
      </c>
      <c r="G34" s="4">
        <v>3300</v>
      </c>
      <c r="H34" s="4">
        <v>0</v>
      </c>
      <c r="I34" s="4">
        <v>0</v>
      </c>
      <c r="J34" s="2">
        <v>4</v>
      </c>
      <c r="K34" s="4">
        <v>5</v>
      </c>
      <c r="L34" s="4">
        <v>3</v>
      </c>
      <c r="M34" s="4"/>
      <c r="N34" s="4"/>
      <c r="O34" s="4"/>
      <c r="P34" s="4" t="s">
        <v>268</v>
      </c>
      <c r="Q34" s="4">
        <v>0</v>
      </c>
      <c r="R34" s="4">
        <v>0</v>
      </c>
      <c r="S34" s="2">
        <v>39</v>
      </c>
      <c r="T34" s="4">
        <v>44</v>
      </c>
      <c r="U34" s="4">
        <v>0</v>
      </c>
      <c r="V34" s="4">
        <v>14</v>
      </c>
      <c r="X34" s="4"/>
    </row>
    <row r="35" spans="2:24" x14ac:dyDescent="0.15">
      <c r="B35" s="2">
        <v>30</v>
      </c>
      <c r="C35" s="2" t="s">
        <v>50</v>
      </c>
      <c r="D35" s="2">
        <f t="shared" si="0"/>
        <v>5700</v>
      </c>
      <c r="E35" s="2">
        <f t="shared" si="1"/>
        <v>17</v>
      </c>
      <c r="F35" s="4">
        <v>11</v>
      </c>
      <c r="G35" s="4">
        <v>3300</v>
      </c>
      <c r="H35" s="4">
        <v>2</v>
      </c>
      <c r="I35" s="4">
        <v>2</v>
      </c>
      <c r="J35" s="2">
        <v>1</v>
      </c>
      <c r="K35" s="4">
        <v>0</v>
      </c>
      <c r="L35" s="4">
        <v>1</v>
      </c>
      <c r="M35" s="4"/>
      <c r="N35" s="4"/>
      <c r="O35" s="4"/>
      <c r="P35" s="4" t="s">
        <v>269</v>
      </c>
      <c r="Q35" s="4">
        <v>34</v>
      </c>
      <c r="R35" s="4">
        <v>39</v>
      </c>
      <c r="S35" s="2">
        <v>0</v>
      </c>
      <c r="T35" s="4">
        <v>0</v>
      </c>
      <c r="U35" s="4">
        <v>0</v>
      </c>
      <c r="V35" s="4">
        <v>14</v>
      </c>
      <c r="X35" s="4"/>
    </row>
    <row r="36" spans="2:24" x14ac:dyDescent="0.15">
      <c r="B36" s="2">
        <v>31</v>
      </c>
      <c r="C36" s="2" t="s">
        <v>270</v>
      </c>
      <c r="D36" s="2">
        <f t="shared" si="0"/>
        <v>5700</v>
      </c>
      <c r="E36" s="2">
        <f t="shared" si="1"/>
        <v>17</v>
      </c>
      <c r="F36" s="4">
        <v>11</v>
      </c>
      <c r="G36" s="4">
        <v>3300</v>
      </c>
      <c r="H36" s="4">
        <v>2</v>
      </c>
      <c r="I36" s="4">
        <v>2</v>
      </c>
      <c r="J36" s="2">
        <v>1</v>
      </c>
      <c r="K36" s="4">
        <v>0</v>
      </c>
      <c r="L36" s="4">
        <v>1</v>
      </c>
      <c r="M36" s="4"/>
      <c r="N36" s="4"/>
      <c r="O36" s="4"/>
      <c r="P36" s="4" t="s">
        <v>271</v>
      </c>
      <c r="Q36" s="4">
        <v>34</v>
      </c>
      <c r="R36" s="4">
        <v>39</v>
      </c>
      <c r="S36" s="2">
        <v>0</v>
      </c>
      <c r="T36" s="4">
        <v>0</v>
      </c>
      <c r="U36" s="4">
        <v>0</v>
      </c>
      <c r="V36" s="4">
        <v>14</v>
      </c>
      <c r="X36" s="4"/>
    </row>
    <row r="37" spans="2:24" x14ac:dyDescent="0.15">
      <c r="B37" s="2">
        <v>32</v>
      </c>
      <c r="C37" s="2" t="s">
        <v>272</v>
      </c>
      <c r="D37" s="2">
        <f t="shared" si="0"/>
        <v>5700</v>
      </c>
      <c r="E37" s="2">
        <f t="shared" si="1"/>
        <v>17</v>
      </c>
      <c r="F37" s="4">
        <v>11</v>
      </c>
      <c r="G37" s="4">
        <v>3300</v>
      </c>
      <c r="H37" s="4">
        <v>2</v>
      </c>
      <c r="I37" s="4">
        <v>2</v>
      </c>
      <c r="J37" s="2">
        <v>1</v>
      </c>
      <c r="K37" s="4">
        <v>0</v>
      </c>
      <c r="L37" s="4">
        <v>1</v>
      </c>
      <c r="M37" s="4"/>
      <c r="N37" s="4"/>
      <c r="O37" s="4"/>
      <c r="P37" s="4" t="s">
        <v>273</v>
      </c>
      <c r="Q37" s="4">
        <v>34</v>
      </c>
      <c r="R37" s="4">
        <v>39</v>
      </c>
      <c r="S37" s="2">
        <v>0</v>
      </c>
      <c r="T37" s="4">
        <v>0</v>
      </c>
      <c r="U37" s="4">
        <v>0</v>
      </c>
      <c r="V37" s="4">
        <v>14</v>
      </c>
      <c r="X37" s="4"/>
    </row>
    <row r="38" spans="2:24" x14ac:dyDescent="0.15">
      <c r="B38" s="2">
        <v>33</v>
      </c>
      <c r="C38" s="2" t="s">
        <v>274</v>
      </c>
      <c r="D38" s="2">
        <f t="shared" si="0"/>
        <v>6000</v>
      </c>
      <c r="E38" s="2">
        <f t="shared" si="1"/>
        <v>20</v>
      </c>
      <c r="F38" s="4">
        <v>10</v>
      </c>
      <c r="G38" s="4">
        <v>5000</v>
      </c>
      <c r="H38" s="4">
        <v>1</v>
      </c>
      <c r="I38" s="4">
        <v>0</v>
      </c>
      <c r="J38" s="2">
        <v>5</v>
      </c>
      <c r="K38" s="4">
        <v>6</v>
      </c>
      <c r="L38" s="4">
        <v>4</v>
      </c>
      <c r="M38" s="4"/>
      <c r="N38" s="4"/>
      <c r="O38" s="4"/>
      <c r="P38" s="4" t="s">
        <v>275</v>
      </c>
      <c r="Q38" s="4">
        <v>5</v>
      </c>
      <c r="R38" s="4">
        <v>0</v>
      </c>
      <c r="S38" s="2">
        <v>47</v>
      </c>
      <c r="T38" s="4">
        <v>52</v>
      </c>
      <c r="U38" s="4">
        <v>0</v>
      </c>
      <c r="V38" s="4">
        <v>17</v>
      </c>
      <c r="X38" s="4"/>
    </row>
    <row r="39" spans="2:24" x14ac:dyDescent="0.15">
      <c r="B39" s="2">
        <v>34</v>
      </c>
      <c r="C39" s="2" t="s">
        <v>276</v>
      </c>
      <c r="D39" s="2">
        <f t="shared" si="0"/>
        <v>6000</v>
      </c>
      <c r="E39" s="2">
        <f t="shared" si="1"/>
        <v>20</v>
      </c>
      <c r="F39" s="4">
        <v>10</v>
      </c>
      <c r="G39" s="4">
        <v>5000</v>
      </c>
      <c r="H39" s="4">
        <v>1</v>
      </c>
      <c r="I39" s="4">
        <v>0</v>
      </c>
      <c r="J39" s="2">
        <v>5</v>
      </c>
      <c r="K39" s="4">
        <v>6</v>
      </c>
      <c r="L39" s="4">
        <v>4</v>
      </c>
      <c r="M39" s="4"/>
      <c r="N39" s="4"/>
      <c r="O39" s="4"/>
      <c r="P39" s="4" t="s">
        <v>277</v>
      </c>
      <c r="Q39" s="4">
        <v>5</v>
      </c>
      <c r="R39" s="4">
        <v>0</v>
      </c>
      <c r="S39" s="2">
        <v>47</v>
      </c>
      <c r="T39" s="4">
        <v>52</v>
      </c>
      <c r="U39" s="4">
        <v>0</v>
      </c>
      <c r="V39" s="4">
        <v>17</v>
      </c>
      <c r="X39" s="4"/>
    </row>
    <row r="40" spans="2:24" x14ac:dyDescent="0.15">
      <c r="B40" s="2">
        <v>35</v>
      </c>
      <c r="C40" s="2" t="s">
        <v>278</v>
      </c>
      <c r="D40" s="2">
        <f t="shared" si="0"/>
        <v>6000</v>
      </c>
      <c r="E40" s="2">
        <f t="shared" si="1"/>
        <v>20</v>
      </c>
      <c r="F40" s="4">
        <v>10</v>
      </c>
      <c r="G40" s="4">
        <v>5000</v>
      </c>
      <c r="H40" s="4">
        <v>1</v>
      </c>
      <c r="I40" s="4">
        <v>0</v>
      </c>
      <c r="J40" s="2">
        <v>5</v>
      </c>
      <c r="K40" s="4">
        <v>6</v>
      </c>
      <c r="L40" s="4">
        <v>4</v>
      </c>
      <c r="M40" s="4"/>
      <c r="N40" s="4"/>
      <c r="O40" s="4"/>
      <c r="P40" s="4" t="s">
        <v>279</v>
      </c>
      <c r="Q40" s="4">
        <v>5</v>
      </c>
      <c r="R40" s="4">
        <v>0</v>
      </c>
      <c r="S40" s="2">
        <v>47</v>
      </c>
      <c r="T40" s="4">
        <v>52</v>
      </c>
      <c r="U40" s="4">
        <v>0</v>
      </c>
      <c r="V40" s="4">
        <v>17</v>
      </c>
      <c r="X40" s="4"/>
    </row>
    <row r="41" spans="2:24" x14ac:dyDescent="0.15">
      <c r="B41" s="2">
        <v>36</v>
      </c>
      <c r="C41" s="2" t="s">
        <v>280</v>
      </c>
      <c r="D41" s="2">
        <f t="shared" si="0"/>
        <v>6000</v>
      </c>
      <c r="E41" s="2">
        <f t="shared" si="1"/>
        <v>20</v>
      </c>
      <c r="F41" s="4">
        <v>10</v>
      </c>
      <c r="G41" s="4">
        <v>5000</v>
      </c>
      <c r="H41" s="4">
        <v>1</v>
      </c>
      <c r="I41" s="4">
        <v>0</v>
      </c>
      <c r="J41" s="2">
        <v>5</v>
      </c>
      <c r="K41" s="4">
        <v>6</v>
      </c>
      <c r="L41" s="4">
        <v>4</v>
      </c>
      <c r="M41" s="4"/>
      <c r="N41" s="4"/>
      <c r="O41" s="4"/>
      <c r="P41" s="4" t="s">
        <v>281</v>
      </c>
      <c r="Q41" s="4">
        <v>5</v>
      </c>
      <c r="R41" s="4">
        <v>0</v>
      </c>
      <c r="S41" s="2">
        <v>47</v>
      </c>
      <c r="T41" s="4">
        <v>52</v>
      </c>
      <c r="U41" s="4">
        <v>0</v>
      </c>
      <c r="V41" s="4">
        <v>17</v>
      </c>
      <c r="X41" s="4"/>
    </row>
    <row r="42" spans="2:24" x14ac:dyDescent="0.15">
      <c r="B42" s="2">
        <v>37</v>
      </c>
      <c r="C42" s="2" t="s">
        <v>282</v>
      </c>
      <c r="D42" s="2">
        <f t="shared" si="0"/>
        <v>6000</v>
      </c>
      <c r="E42" s="2">
        <f t="shared" si="1"/>
        <v>20</v>
      </c>
      <c r="F42" s="4">
        <v>10</v>
      </c>
      <c r="G42" s="4">
        <v>5000</v>
      </c>
      <c r="H42" s="4">
        <v>1</v>
      </c>
      <c r="I42" s="4">
        <v>0</v>
      </c>
      <c r="J42" s="2">
        <v>5</v>
      </c>
      <c r="K42" s="4">
        <v>6</v>
      </c>
      <c r="L42" s="4">
        <v>4</v>
      </c>
      <c r="M42" s="4"/>
      <c r="N42" s="4"/>
      <c r="O42" s="4"/>
      <c r="P42" s="4" t="s">
        <v>283</v>
      </c>
      <c r="Q42" s="4">
        <v>5</v>
      </c>
      <c r="R42" s="4">
        <v>0</v>
      </c>
      <c r="S42" s="2">
        <v>47</v>
      </c>
      <c r="T42" s="4">
        <v>52</v>
      </c>
      <c r="U42" s="4">
        <v>0</v>
      </c>
      <c r="V42" s="4">
        <v>17</v>
      </c>
      <c r="X42" s="4"/>
    </row>
    <row r="43" spans="2:24" x14ac:dyDescent="0.15">
      <c r="B43" s="2">
        <v>38</v>
      </c>
      <c r="C43" s="2" t="s">
        <v>284</v>
      </c>
      <c r="D43" s="2">
        <f t="shared" si="0"/>
        <v>6000</v>
      </c>
      <c r="E43" s="2">
        <f t="shared" si="1"/>
        <v>20</v>
      </c>
      <c r="F43" s="4">
        <v>10</v>
      </c>
      <c r="G43" s="4">
        <v>5000</v>
      </c>
      <c r="H43" s="4">
        <v>3</v>
      </c>
      <c r="I43" s="4">
        <v>3</v>
      </c>
      <c r="J43" s="2">
        <v>2</v>
      </c>
      <c r="K43" s="4">
        <v>1</v>
      </c>
      <c r="L43" s="4">
        <v>2</v>
      </c>
      <c r="M43" s="4"/>
      <c r="N43" s="4"/>
      <c r="O43" s="4"/>
      <c r="P43" s="4" t="s">
        <v>285</v>
      </c>
      <c r="Q43" s="4">
        <v>42</v>
      </c>
      <c r="R43" s="4">
        <v>47</v>
      </c>
      <c r="S43" s="2">
        <v>5</v>
      </c>
      <c r="T43" s="4">
        <v>0</v>
      </c>
      <c r="U43" s="4">
        <v>0</v>
      </c>
      <c r="V43" s="4">
        <v>17</v>
      </c>
      <c r="X43" s="4"/>
    </row>
    <row r="44" spans="2:24" x14ac:dyDescent="0.15">
      <c r="B44" s="2">
        <v>39</v>
      </c>
      <c r="C44" s="2" t="s">
        <v>286</v>
      </c>
      <c r="D44" s="2">
        <f t="shared" si="0"/>
        <v>6000</v>
      </c>
      <c r="E44" s="2">
        <f t="shared" si="1"/>
        <v>20</v>
      </c>
      <c r="F44" s="4">
        <v>10</v>
      </c>
      <c r="G44" s="4">
        <v>5000</v>
      </c>
      <c r="H44" s="4">
        <v>3</v>
      </c>
      <c r="I44" s="4">
        <v>3</v>
      </c>
      <c r="J44" s="2">
        <v>2</v>
      </c>
      <c r="K44" s="4">
        <v>1</v>
      </c>
      <c r="L44" s="4">
        <v>2</v>
      </c>
      <c r="M44" s="4"/>
      <c r="N44" s="4"/>
      <c r="O44" s="4"/>
      <c r="P44" s="4" t="s">
        <v>287</v>
      </c>
      <c r="Q44" s="4">
        <v>42</v>
      </c>
      <c r="R44" s="4">
        <v>47</v>
      </c>
      <c r="S44" s="2">
        <v>5</v>
      </c>
      <c r="T44" s="4">
        <v>0</v>
      </c>
      <c r="U44" s="4">
        <v>0</v>
      </c>
      <c r="V44" s="4">
        <v>17</v>
      </c>
      <c r="X44" s="4"/>
    </row>
    <row r="45" spans="2:24" x14ac:dyDescent="0.15">
      <c r="B45" s="2">
        <v>40</v>
      </c>
      <c r="C45" s="2" t="s">
        <v>288</v>
      </c>
      <c r="D45" s="2">
        <f t="shared" si="0"/>
        <v>6000</v>
      </c>
      <c r="E45" s="2">
        <f t="shared" si="1"/>
        <v>20</v>
      </c>
      <c r="F45" s="4">
        <v>10</v>
      </c>
      <c r="G45" s="4">
        <v>5000</v>
      </c>
      <c r="H45" s="4">
        <v>3</v>
      </c>
      <c r="I45" s="4">
        <v>3</v>
      </c>
      <c r="J45" s="2">
        <v>2</v>
      </c>
      <c r="K45" s="4">
        <v>1</v>
      </c>
      <c r="L45" s="4">
        <v>2</v>
      </c>
      <c r="M45" s="4"/>
      <c r="N45" s="4"/>
      <c r="O45" s="4"/>
      <c r="P45" s="4" t="s">
        <v>289</v>
      </c>
      <c r="Q45" s="4">
        <v>42</v>
      </c>
      <c r="R45" s="4">
        <v>47</v>
      </c>
      <c r="S45" s="2">
        <v>5</v>
      </c>
      <c r="T45" s="4">
        <v>0</v>
      </c>
      <c r="U45" s="4">
        <v>0</v>
      </c>
      <c r="V45" s="4">
        <v>17</v>
      </c>
      <c r="X45" s="4"/>
    </row>
    <row r="46" spans="2:24" x14ac:dyDescent="0.15">
      <c r="B46" s="2">
        <v>41</v>
      </c>
      <c r="C46" s="2" t="s">
        <v>290</v>
      </c>
      <c r="D46" s="2">
        <f t="shared" si="0"/>
        <v>6300</v>
      </c>
      <c r="E46" s="2">
        <f t="shared" si="1"/>
        <v>23</v>
      </c>
      <c r="F46" s="4">
        <v>9</v>
      </c>
      <c r="G46" s="4">
        <v>7000</v>
      </c>
      <c r="H46" s="4">
        <v>1</v>
      </c>
      <c r="I46" s="4">
        <v>0</v>
      </c>
      <c r="J46" s="2">
        <v>5</v>
      </c>
      <c r="K46" s="4">
        <v>6</v>
      </c>
      <c r="L46" s="4">
        <v>4</v>
      </c>
      <c r="M46" s="4"/>
      <c r="N46" s="4"/>
      <c r="O46" s="4"/>
      <c r="P46" s="4" t="s">
        <v>291</v>
      </c>
      <c r="Q46" s="4">
        <v>10</v>
      </c>
      <c r="R46" s="4">
        <v>5</v>
      </c>
      <c r="S46" s="2">
        <v>55</v>
      </c>
      <c r="T46" s="4">
        <v>60</v>
      </c>
      <c r="U46" s="4">
        <v>30</v>
      </c>
      <c r="V46" s="4">
        <v>21</v>
      </c>
      <c r="X46" s="4"/>
    </row>
    <row r="47" spans="2:24" x14ac:dyDescent="0.15">
      <c r="B47" s="2">
        <v>42</v>
      </c>
      <c r="C47" s="2" t="s">
        <v>292</v>
      </c>
      <c r="D47" s="2">
        <f t="shared" si="0"/>
        <v>6300</v>
      </c>
      <c r="E47" s="2">
        <f t="shared" si="1"/>
        <v>23</v>
      </c>
      <c r="F47" s="4">
        <v>9</v>
      </c>
      <c r="G47" s="4">
        <v>7000</v>
      </c>
      <c r="H47" s="4">
        <v>1</v>
      </c>
      <c r="I47" s="4">
        <v>0</v>
      </c>
      <c r="J47" s="2">
        <v>5</v>
      </c>
      <c r="K47" s="4">
        <v>6</v>
      </c>
      <c r="L47" s="2">
        <v>4</v>
      </c>
      <c r="P47" s="4" t="s">
        <v>293</v>
      </c>
      <c r="Q47" s="4">
        <v>10</v>
      </c>
      <c r="R47" s="4">
        <v>5</v>
      </c>
      <c r="S47" s="2">
        <v>55</v>
      </c>
      <c r="T47" s="4">
        <v>60</v>
      </c>
      <c r="U47" s="2">
        <v>0</v>
      </c>
      <c r="V47" s="4">
        <v>21</v>
      </c>
      <c r="X47" s="4"/>
    </row>
    <row r="48" spans="2:24" x14ac:dyDescent="0.15">
      <c r="B48" s="2">
        <v>43</v>
      </c>
      <c r="C48" s="2" t="s">
        <v>294</v>
      </c>
      <c r="D48" s="2">
        <f t="shared" si="0"/>
        <v>6300</v>
      </c>
      <c r="E48" s="2">
        <f t="shared" si="1"/>
        <v>23</v>
      </c>
      <c r="F48" s="4">
        <v>9</v>
      </c>
      <c r="G48" s="4">
        <v>7000</v>
      </c>
      <c r="H48" s="4">
        <v>1</v>
      </c>
      <c r="I48" s="2">
        <v>0</v>
      </c>
      <c r="J48" s="2">
        <v>5</v>
      </c>
      <c r="K48" s="2">
        <v>6</v>
      </c>
      <c r="L48" s="2">
        <v>4</v>
      </c>
      <c r="P48" s="4" t="s">
        <v>295</v>
      </c>
      <c r="Q48" s="4">
        <v>10</v>
      </c>
      <c r="R48" s="2">
        <v>5</v>
      </c>
      <c r="S48" s="2">
        <v>55</v>
      </c>
      <c r="T48" s="2">
        <v>60</v>
      </c>
      <c r="U48" s="2">
        <v>0</v>
      </c>
      <c r="V48" s="2">
        <v>21</v>
      </c>
    </row>
    <row r="49" spans="2:22" x14ac:dyDescent="0.15">
      <c r="B49" s="2">
        <v>44</v>
      </c>
      <c r="C49" s="2" t="s">
        <v>296</v>
      </c>
      <c r="D49" s="2">
        <f t="shared" si="0"/>
        <v>6300</v>
      </c>
      <c r="E49" s="2">
        <f t="shared" si="1"/>
        <v>23</v>
      </c>
      <c r="F49" s="4">
        <v>9</v>
      </c>
      <c r="G49" s="4">
        <v>7000</v>
      </c>
      <c r="H49" s="4">
        <v>1</v>
      </c>
      <c r="I49" s="2">
        <v>0</v>
      </c>
      <c r="J49" s="2">
        <v>5</v>
      </c>
      <c r="K49" s="2">
        <v>6</v>
      </c>
      <c r="L49" s="2">
        <v>4</v>
      </c>
      <c r="P49" s="4" t="s">
        <v>297</v>
      </c>
      <c r="Q49" s="4">
        <v>10</v>
      </c>
      <c r="R49" s="2">
        <v>5</v>
      </c>
      <c r="S49" s="2">
        <v>55</v>
      </c>
      <c r="T49" s="2">
        <v>60</v>
      </c>
      <c r="U49" s="2">
        <v>0</v>
      </c>
      <c r="V49" s="2">
        <v>21</v>
      </c>
    </row>
    <row r="50" spans="2:22" x14ac:dyDescent="0.15">
      <c r="B50" s="2">
        <v>45</v>
      </c>
      <c r="C50" s="2" t="s">
        <v>298</v>
      </c>
      <c r="D50" s="2">
        <f t="shared" si="0"/>
        <v>6300</v>
      </c>
      <c r="E50" s="2">
        <f t="shared" si="1"/>
        <v>23</v>
      </c>
      <c r="F50" s="4">
        <v>9</v>
      </c>
      <c r="G50" s="4">
        <v>7000</v>
      </c>
      <c r="H50" s="4">
        <v>1</v>
      </c>
      <c r="I50" s="2">
        <v>0</v>
      </c>
      <c r="J50" s="2">
        <v>5</v>
      </c>
      <c r="K50" s="2">
        <v>6</v>
      </c>
      <c r="L50" s="2">
        <v>4</v>
      </c>
      <c r="P50" s="4" t="s">
        <v>299</v>
      </c>
      <c r="Q50" s="4">
        <v>10</v>
      </c>
      <c r="R50" s="2">
        <v>5</v>
      </c>
      <c r="S50" s="2">
        <v>55</v>
      </c>
      <c r="T50" s="2">
        <v>60</v>
      </c>
      <c r="U50" s="2">
        <v>0</v>
      </c>
      <c r="V50" s="2">
        <v>21</v>
      </c>
    </row>
    <row r="51" spans="2:22" x14ac:dyDescent="0.15">
      <c r="B51" s="2">
        <v>46</v>
      </c>
      <c r="C51" s="2" t="s">
        <v>300</v>
      </c>
      <c r="D51" s="2">
        <f t="shared" si="0"/>
        <v>6300</v>
      </c>
      <c r="E51" s="2">
        <f t="shared" si="1"/>
        <v>23</v>
      </c>
      <c r="F51" s="4">
        <v>9</v>
      </c>
      <c r="G51" s="4">
        <v>7000</v>
      </c>
      <c r="H51" s="4">
        <v>3</v>
      </c>
      <c r="I51" s="2">
        <v>3</v>
      </c>
      <c r="J51" s="2">
        <v>2</v>
      </c>
      <c r="K51" s="2">
        <v>1</v>
      </c>
      <c r="L51" s="2">
        <v>2</v>
      </c>
      <c r="P51" s="4" t="s">
        <v>301</v>
      </c>
      <c r="Q51" s="4">
        <v>50</v>
      </c>
      <c r="R51" s="2">
        <v>55</v>
      </c>
      <c r="S51" s="2">
        <v>10</v>
      </c>
      <c r="T51" s="2">
        <v>5</v>
      </c>
      <c r="U51" s="2">
        <v>0</v>
      </c>
      <c r="V51" s="2">
        <v>21</v>
      </c>
    </row>
    <row r="52" spans="2:22" x14ac:dyDescent="0.15">
      <c r="B52" s="2">
        <v>47</v>
      </c>
      <c r="C52" s="2" t="s">
        <v>302</v>
      </c>
      <c r="D52" s="2">
        <f t="shared" si="0"/>
        <v>6300</v>
      </c>
      <c r="E52" s="2">
        <f t="shared" si="1"/>
        <v>23</v>
      </c>
      <c r="F52" s="4">
        <v>9</v>
      </c>
      <c r="G52" s="4">
        <v>7000</v>
      </c>
      <c r="H52" s="4">
        <v>3</v>
      </c>
      <c r="I52" s="2">
        <v>3</v>
      </c>
      <c r="J52" s="2">
        <v>2</v>
      </c>
      <c r="K52" s="2">
        <v>1</v>
      </c>
      <c r="L52" s="2">
        <v>2</v>
      </c>
      <c r="P52" s="4" t="s">
        <v>303</v>
      </c>
      <c r="Q52" s="4">
        <v>50</v>
      </c>
      <c r="R52" s="2">
        <v>55</v>
      </c>
      <c r="S52" s="2">
        <v>10</v>
      </c>
      <c r="T52" s="2">
        <v>5</v>
      </c>
      <c r="U52" s="2">
        <v>0</v>
      </c>
      <c r="V52" s="2">
        <v>21</v>
      </c>
    </row>
    <row r="53" spans="2:22" x14ac:dyDescent="0.15">
      <c r="B53" s="2">
        <v>48</v>
      </c>
      <c r="C53" s="2" t="s">
        <v>304</v>
      </c>
      <c r="D53" s="2">
        <f t="shared" si="0"/>
        <v>6300</v>
      </c>
      <c r="E53" s="2">
        <f t="shared" si="1"/>
        <v>23</v>
      </c>
      <c r="F53" s="4">
        <v>9</v>
      </c>
      <c r="G53" s="4">
        <v>7000</v>
      </c>
      <c r="H53" s="4">
        <v>3</v>
      </c>
      <c r="I53" s="2">
        <v>3</v>
      </c>
      <c r="J53" s="2">
        <v>2</v>
      </c>
      <c r="K53" s="2">
        <v>1</v>
      </c>
      <c r="L53" s="2">
        <v>2</v>
      </c>
      <c r="P53" s="4" t="s">
        <v>305</v>
      </c>
      <c r="Q53" s="4">
        <v>50</v>
      </c>
      <c r="R53" s="2">
        <v>55</v>
      </c>
      <c r="S53" s="2">
        <v>10</v>
      </c>
      <c r="T53" s="2">
        <v>5</v>
      </c>
      <c r="U53" s="2">
        <v>0</v>
      </c>
      <c r="V53" s="2">
        <v>21</v>
      </c>
    </row>
    <row r="54" spans="2:22" x14ac:dyDescent="0.15">
      <c r="B54" s="2">
        <v>49</v>
      </c>
      <c r="C54" s="4" t="s">
        <v>306</v>
      </c>
      <c r="D54" s="2">
        <f t="shared" si="0"/>
        <v>6600</v>
      </c>
      <c r="E54" s="2">
        <f t="shared" si="1"/>
        <v>26</v>
      </c>
      <c r="F54" s="4">
        <v>8</v>
      </c>
      <c r="G54" s="4">
        <v>9500</v>
      </c>
      <c r="H54" s="4">
        <v>2</v>
      </c>
      <c r="I54" s="2">
        <v>1</v>
      </c>
      <c r="J54" s="2">
        <v>6</v>
      </c>
      <c r="K54" s="2">
        <v>7</v>
      </c>
      <c r="L54" s="2">
        <v>5</v>
      </c>
      <c r="P54" s="4" t="s">
        <v>307</v>
      </c>
      <c r="Q54" s="4">
        <v>15</v>
      </c>
      <c r="R54" s="2">
        <v>10</v>
      </c>
      <c r="S54" s="2">
        <v>63</v>
      </c>
      <c r="T54" s="2">
        <v>68</v>
      </c>
      <c r="U54" s="2">
        <v>0</v>
      </c>
      <c r="V54" s="2">
        <v>24</v>
      </c>
    </row>
    <row r="55" spans="2:22" x14ac:dyDescent="0.15">
      <c r="B55" s="2">
        <v>50</v>
      </c>
      <c r="C55" s="4" t="s">
        <v>308</v>
      </c>
      <c r="D55" s="2">
        <f t="shared" si="0"/>
        <v>6600</v>
      </c>
      <c r="E55" s="2">
        <f t="shared" si="1"/>
        <v>26</v>
      </c>
      <c r="F55" s="4">
        <v>8</v>
      </c>
      <c r="G55" s="4">
        <v>9500</v>
      </c>
      <c r="H55" s="4">
        <v>2</v>
      </c>
      <c r="I55" s="2">
        <v>1</v>
      </c>
      <c r="J55" s="2">
        <v>6</v>
      </c>
      <c r="K55" s="2">
        <v>7</v>
      </c>
      <c r="L55" s="2">
        <v>5</v>
      </c>
      <c r="P55" s="4" t="s">
        <v>309</v>
      </c>
      <c r="Q55" s="4">
        <v>15</v>
      </c>
      <c r="R55" s="2">
        <v>10</v>
      </c>
      <c r="S55" s="2">
        <v>63</v>
      </c>
      <c r="T55" s="2">
        <v>68</v>
      </c>
      <c r="U55" s="2">
        <v>0</v>
      </c>
      <c r="V55" s="2">
        <v>24</v>
      </c>
    </row>
    <row r="56" spans="2:22" x14ac:dyDescent="0.15">
      <c r="B56" s="2">
        <v>51</v>
      </c>
      <c r="C56" s="4" t="s">
        <v>310</v>
      </c>
      <c r="D56" s="2">
        <f t="shared" si="0"/>
        <v>6600</v>
      </c>
      <c r="E56" s="2">
        <f t="shared" si="1"/>
        <v>26</v>
      </c>
      <c r="F56" s="4">
        <v>8</v>
      </c>
      <c r="G56" s="4">
        <v>9500</v>
      </c>
      <c r="H56" s="4">
        <v>2</v>
      </c>
      <c r="I56" s="2">
        <v>1</v>
      </c>
      <c r="J56" s="2">
        <v>6</v>
      </c>
      <c r="K56" s="2">
        <v>7</v>
      </c>
      <c r="L56" s="2">
        <v>5</v>
      </c>
      <c r="P56" s="4" t="s">
        <v>311</v>
      </c>
      <c r="Q56" s="4">
        <v>15</v>
      </c>
      <c r="R56" s="2">
        <v>10</v>
      </c>
      <c r="S56" s="2">
        <v>63</v>
      </c>
      <c r="T56" s="2">
        <v>68</v>
      </c>
      <c r="U56" s="2">
        <v>0</v>
      </c>
      <c r="V56" s="2">
        <v>24</v>
      </c>
    </row>
    <row r="57" spans="2:22" x14ac:dyDescent="0.15">
      <c r="B57" s="2">
        <v>52</v>
      </c>
      <c r="C57" s="4" t="s">
        <v>312</v>
      </c>
      <c r="D57" s="2">
        <f t="shared" si="0"/>
        <v>6600</v>
      </c>
      <c r="E57" s="2">
        <f t="shared" si="1"/>
        <v>26</v>
      </c>
      <c r="F57" s="4">
        <v>8</v>
      </c>
      <c r="G57" s="4">
        <v>9500</v>
      </c>
      <c r="H57" s="4">
        <v>2</v>
      </c>
      <c r="I57" s="2">
        <v>1</v>
      </c>
      <c r="J57" s="2">
        <v>6</v>
      </c>
      <c r="K57" s="2">
        <v>7</v>
      </c>
      <c r="L57" s="2">
        <v>5</v>
      </c>
      <c r="P57" s="4" t="s">
        <v>313</v>
      </c>
      <c r="Q57" s="4">
        <v>15</v>
      </c>
      <c r="R57" s="2">
        <v>10</v>
      </c>
      <c r="S57" s="2">
        <v>63</v>
      </c>
      <c r="T57" s="2">
        <v>68</v>
      </c>
      <c r="U57" s="2">
        <v>0</v>
      </c>
      <c r="V57" s="2">
        <v>24</v>
      </c>
    </row>
    <row r="58" spans="2:22" x14ac:dyDescent="0.15">
      <c r="B58" s="2">
        <v>53</v>
      </c>
      <c r="C58" s="4" t="s">
        <v>314</v>
      </c>
      <c r="D58" s="2">
        <f t="shared" si="0"/>
        <v>6600</v>
      </c>
      <c r="E58" s="2">
        <f t="shared" si="1"/>
        <v>26</v>
      </c>
      <c r="F58" s="4">
        <v>8</v>
      </c>
      <c r="G58" s="4">
        <v>9500</v>
      </c>
      <c r="H58" s="4">
        <v>2</v>
      </c>
      <c r="I58" s="2">
        <v>1</v>
      </c>
      <c r="J58" s="2">
        <v>6</v>
      </c>
      <c r="K58" s="2">
        <v>7</v>
      </c>
      <c r="L58" s="2">
        <v>5</v>
      </c>
      <c r="P58" s="4" t="s">
        <v>315</v>
      </c>
      <c r="Q58" s="4">
        <v>15</v>
      </c>
      <c r="R58" s="2">
        <v>10</v>
      </c>
      <c r="S58" s="2">
        <v>63</v>
      </c>
      <c r="T58" s="2">
        <v>68</v>
      </c>
      <c r="U58" s="2">
        <v>0</v>
      </c>
      <c r="V58" s="2">
        <v>24</v>
      </c>
    </row>
    <row r="59" spans="2:22" x14ac:dyDescent="0.15">
      <c r="B59" s="2">
        <v>54</v>
      </c>
      <c r="C59" s="4" t="s">
        <v>316</v>
      </c>
      <c r="D59" s="2">
        <f t="shared" si="0"/>
        <v>6600</v>
      </c>
      <c r="E59" s="2">
        <f t="shared" si="1"/>
        <v>26</v>
      </c>
      <c r="F59" s="4">
        <v>8</v>
      </c>
      <c r="G59" s="4">
        <v>9500</v>
      </c>
      <c r="H59" s="4">
        <v>4</v>
      </c>
      <c r="I59" s="2">
        <v>6</v>
      </c>
      <c r="J59" s="2">
        <v>3</v>
      </c>
      <c r="K59" s="2">
        <v>2</v>
      </c>
      <c r="L59" s="2">
        <v>3</v>
      </c>
      <c r="P59" s="4" t="s">
        <v>317</v>
      </c>
      <c r="Q59" s="4">
        <v>58</v>
      </c>
      <c r="R59" s="2">
        <v>63</v>
      </c>
      <c r="S59" s="2">
        <v>15</v>
      </c>
      <c r="T59" s="2">
        <v>10</v>
      </c>
      <c r="U59" s="2">
        <v>0</v>
      </c>
      <c r="V59" s="2">
        <v>24</v>
      </c>
    </row>
    <row r="60" spans="2:22" x14ac:dyDescent="0.15">
      <c r="B60" s="2">
        <v>55</v>
      </c>
      <c r="C60" s="4" t="s">
        <v>318</v>
      </c>
      <c r="D60" s="2">
        <f t="shared" si="0"/>
        <v>6600</v>
      </c>
      <c r="E60" s="2">
        <f t="shared" si="1"/>
        <v>26</v>
      </c>
      <c r="F60" s="4">
        <v>8</v>
      </c>
      <c r="G60" s="4">
        <v>9500</v>
      </c>
      <c r="H60" s="4">
        <v>4</v>
      </c>
      <c r="I60" s="2">
        <v>6</v>
      </c>
      <c r="J60" s="2">
        <v>3</v>
      </c>
      <c r="K60" s="2">
        <v>2</v>
      </c>
      <c r="L60" s="2">
        <v>3</v>
      </c>
      <c r="P60" s="4" t="s">
        <v>319</v>
      </c>
      <c r="Q60" s="4">
        <v>58</v>
      </c>
      <c r="R60" s="2">
        <v>63</v>
      </c>
      <c r="S60" s="2">
        <v>15</v>
      </c>
      <c r="T60" s="2">
        <v>10</v>
      </c>
      <c r="U60" s="2">
        <v>0</v>
      </c>
      <c r="V60" s="2">
        <v>24</v>
      </c>
    </row>
    <row r="61" spans="2:22" x14ac:dyDescent="0.15">
      <c r="B61" s="2">
        <v>56</v>
      </c>
      <c r="C61" s="4" t="s">
        <v>320</v>
      </c>
      <c r="D61" s="2">
        <f t="shared" si="0"/>
        <v>6600</v>
      </c>
      <c r="E61" s="2">
        <f t="shared" si="1"/>
        <v>26</v>
      </c>
      <c r="F61" s="4">
        <v>8</v>
      </c>
      <c r="G61" s="4">
        <v>9500</v>
      </c>
      <c r="H61" s="4">
        <v>4</v>
      </c>
      <c r="I61" s="2">
        <v>6</v>
      </c>
      <c r="J61" s="2">
        <v>3</v>
      </c>
      <c r="K61" s="2">
        <v>2</v>
      </c>
      <c r="L61" s="2">
        <v>3</v>
      </c>
      <c r="P61" s="4" t="s">
        <v>321</v>
      </c>
      <c r="Q61" s="4">
        <v>58</v>
      </c>
      <c r="R61" s="2">
        <v>63</v>
      </c>
      <c r="S61" s="2">
        <v>15</v>
      </c>
      <c r="T61" s="2">
        <v>10</v>
      </c>
      <c r="U61" s="2">
        <v>0</v>
      </c>
      <c r="V61" s="2">
        <v>24</v>
      </c>
    </row>
    <row r="62" spans="2:22" x14ac:dyDescent="0.15">
      <c r="B62" s="2">
        <v>57</v>
      </c>
      <c r="C62" s="4" t="s">
        <v>322</v>
      </c>
      <c r="D62" s="2">
        <f t="shared" si="0"/>
        <v>6600</v>
      </c>
      <c r="E62" s="2">
        <f t="shared" si="1"/>
        <v>26</v>
      </c>
      <c r="F62" s="4">
        <v>8</v>
      </c>
      <c r="G62" s="4">
        <v>9500</v>
      </c>
      <c r="H62" s="4">
        <v>4</v>
      </c>
      <c r="I62" s="2">
        <v>6</v>
      </c>
      <c r="J62" s="2">
        <v>3</v>
      </c>
      <c r="K62" s="2">
        <v>2</v>
      </c>
      <c r="L62" s="2">
        <v>3</v>
      </c>
      <c r="P62" s="4" t="s">
        <v>323</v>
      </c>
      <c r="Q62" s="4">
        <v>58</v>
      </c>
      <c r="R62" s="2">
        <v>63</v>
      </c>
      <c r="S62" s="2">
        <v>15</v>
      </c>
      <c r="T62" s="2">
        <v>10</v>
      </c>
      <c r="U62" s="2">
        <v>0</v>
      </c>
      <c r="V62" s="2">
        <v>24</v>
      </c>
    </row>
    <row r="63" spans="2:22" x14ac:dyDescent="0.15">
      <c r="B63" s="2">
        <v>58</v>
      </c>
      <c r="C63" s="4" t="s">
        <v>324</v>
      </c>
      <c r="D63" s="2">
        <f t="shared" si="0"/>
        <v>6900</v>
      </c>
      <c r="E63" s="2">
        <f t="shared" si="1"/>
        <v>29</v>
      </c>
      <c r="F63" s="4">
        <v>7</v>
      </c>
      <c r="G63" s="4">
        <v>12500</v>
      </c>
      <c r="H63" s="4">
        <v>2</v>
      </c>
      <c r="I63" s="2">
        <v>1</v>
      </c>
      <c r="J63" s="2">
        <v>6</v>
      </c>
      <c r="K63" s="2">
        <v>7</v>
      </c>
      <c r="L63" s="2">
        <v>5</v>
      </c>
      <c r="P63" s="4" t="s">
        <v>325</v>
      </c>
      <c r="Q63" s="4">
        <v>20</v>
      </c>
      <c r="R63" s="2">
        <v>15</v>
      </c>
      <c r="S63" s="2">
        <v>71</v>
      </c>
      <c r="T63" s="2">
        <v>76</v>
      </c>
      <c r="U63" s="2">
        <v>30</v>
      </c>
      <c r="V63" s="2">
        <v>27</v>
      </c>
    </row>
    <row r="64" spans="2:22" x14ac:dyDescent="0.15">
      <c r="B64" s="2">
        <v>59</v>
      </c>
      <c r="C64" s="4" t="s">
        <v>326</v>
      </c>
      <c r="D64" s="2">
        <f t="shared" si="0"/>
        <v>6900</v>
      </c>
      <c r="E64" s="2">
        <f t="shared" si="1"/>
        <v>29</v>
      </c>
      <c r="F64" s="4">
        <v>7</v>
      </c>
      <c r="G64" s="4">
        <v>12500</v>
      </c>
      <c r="H64" s="4">
        <v>2</v>
      </c>
      <c r="I64" s="2">
        <v>1</v>
      </c>
      <c r="J64" s="2">
        <v>6</v>
      </c>
      <c r="K64" s="2">
        <v>7</v>
      </c>
      <c r="L64" s="2">
        <v>5</v>
      </c>
      <c r="P64" s="4" t="s">
        <v>327</v>
      </c>
      <c r="Q64" s="4">
        <v>20</v>
      </c>
      <c r="R64" s="2">
        <v>15</v>
      </c>
      <c r="S64" s="2">
        <v>71</v>
      </c>
      <c r="T64" s="2">
        <v>76</v>
      </c>
      <c r="U64" s="2">
        <v>45</v>
      </c>
      <c r="V64" s="2">
        <v>27</v>
      </c>
    </row>
    <row r="65" spans="2:22" x14ac:dyDescent="0.15">
      <c r="B65" s="2">
        <v>60</v>
      </c>
      <c r="C65" s="4" t="s">
        <v>328</v>
      </c>
      <c r="D65" s="2">
        <f t="shared" si="0"/>
        <v>6900</v>
      </c>
      <c r="E65" s="2">
        <f t="shared" si="1"/>
        <v>29</v>
      </c>
      <c r="F65" s="4">
        <v>7</v>
      </c>
      <c r="G65" s="4">
        <v>12500</v>
      </c>
      <c r="H65" s="4">
        <v>2</v>
      </c>
      <c r="I65" s="2">
        <v>1</v>
      </c>
      <c r="J65" s="2">
        <v>6</v>
      </c>
      <c r="K65" s="2">
        <v>7</v>
      </c>
      <c r="L65" s="2">
        <v>5</v>
      </c>
      <c r="P65" s="4" t="s">
        <v>329</v>
      </c>
      <c r="Q65" s="4">
        <v>20</v>
      </c>
      <c r="R65" s="2">
        <v>15</v>
      </c>
      <c r="S65" s="2">
        <v>71</v>
      </c>
      <c r="T65" s="2">
        <v>76</v>
      </c>
      <c r="U65" s="2">
        <v>35</v>
      </c>
      <c r="V65" s="2">
        <v>27</v>
      </c>
    </row>
    <row r="66" spans="2:22" x14ac:dyDescent="0.15">
      <c r="B66" s="2">
        <v>61</v>
      </c>
      <c r="C66" s="4" t="s">
        <v>330</v>
      </c>
      <c r="D66" s="2">
        <f t="shared" si="0"/>
        <v>6900</v>
      </c>
      <c r="E66" s="2">
        <f t="shared" si="1"/>
        <v>29</v>
      </c>
      <c r="F66" s="4">
        <v>7</v>
      </c>
      <c r="G66" s="4">
        <v>12500</v>
      </c>
      <c r="H66" s="4">
        <v>2</v>
      </c>
      <c r="I66" s="2">
        <v>1</v>
      </c>
      <c r="J66" s="2">
        <v>6</v>
      </c>
      <c r="K66" s="2">
        <v>7</v>
      </c>
      <c r="L66" s="2">
        <v>5</v>
      </c>
      <c r="P66" s="4" t="s">
        <v>331</v>
      </c>
      <c r="Q66" s="4">
        <v>20</v>
      </c>
      <c r="R66" s="2">
        <v>15</v>
      </c>
      <c r="S66" s="2">
        <v>71</v>
      </c>
      <c r="T66" s="2">
        <v>76</v>
      </c>
      <c r="U66" s="2">
        <v>0</v>
      </c>
      <c r="V66" s="2">
        <v>27</v>
      </c>
    </row>
    <row r="67" spans="2:22" x14ac:dyDescent="0.15">
      <c r="B67" s="2">
        <v>62</v>
      </c>
      <c r="C67" s="4" t="s">
        <v>332</v>
      </c>
      <c r="D67" s="2">
        <f t="shared" si="0"/>
        <v>6900</v>
      </c>
      <c r="E67" s="2">
        <f t="shared" si="1"/>
        <v>29</v>
      </c>
      <c r="F67" s="4">
        <v>7</v>
      </c>
      <c r="G67" s="4">
        <v>12500</v>
      </c>
      <c r="H67" s="4">
        <v>2</v>
      </c>
      <c r="I67" s="2">
        <v>1</v>
      </c>
      <c r="J67" s="2">
        <v>6</v>
      </c>
      <c r="K67" s="2">
        <v>7</v>
      </c>
      <c r="L67" s="2">
        <v>5</v>
      </c>
      <c r="P67" s="4" t="s">
        <v>333</v>
      </c>
      <c r="Q67" s="4">
        <v>20</v>
      </c>
      <c r="R67" s="2">
        <v>15</v>
      </c>
      <c r="S67" s="2">
        <v>71</v>
      </c>
      <c r="T67" s="2">
        <v>76</v>
      </c>
      <c r="U67" s="2">
        <v>0</v>
      </c>
      <c r="V67" s="2">
        <v>27</v>
      </c>
    </row>
    <row r="68" spans="2:22" x14ac:dyDescent="0.15">
      <c r="B68" s="2">
        <v>63</v>
      </c>
      <c r="C68" s="4" t="s">
        <v>63</v>
      </c>
      <c r="D68" s="2">
        <f t="shared" si="0"/>
        <v>6900</v>
      </c>
      <c r="E68" s="2">
        <f t="shared" si="1"/>
        <v>29</v>
      </c>
      <c r="F68" s="4">
        <v>7</v>
      </c>
      <c r="G68" s="4">
        <v>12500</v>
      </c>
      <c r="H68" s="4">
        <v>4</v>
      </c>
      <c r="I68" s="2">
        <v>6</v>
      </c>
      <c r="J68" s="2">
        <v>3</v>
      </c>
      <c r="K68" s="2">
        <v>2</v>
      </c>
      <c r="L68" s="2">
        <v>3</v>
      </c>
      <c r="P68" s="4" t="s">
        <v>334</v>
      </c>
      <c r="Q68" s="4">
        <v>66</v>
      </c>
      <c r="R68" s="2">
        <v>71</v>
      </c>
      <c r="S68" s="2">
        <v>20</v>
      </c>
      <c r="T68" s="2">
        <v>15</v>
      </c>
      <c r="U68" s="2">
        <v>0</v>
      </c>
      <c r="V68" s="2">
        <v>27</v>
      </c>
    </row>
    <row r="69" spans="2:22" x14ac:dyDescent="0.15">
      <c r="B69" s="2">
        <v>64</v>
      </c>
      <c r="C69" s="4" t="s">
        <v>61</v>
      </c>
      <c r="D69" s="2">
        <f t="shared" si="0"/>
        <v>6900</v>
      </c>
      <c r="E69" s="2">
        <f t="shared" si="1"/>
        <v>29</v>
      </c>
      <c r="F69" s="4">
        <v>7</v>
      </c>
      <c r="G69" s="4">
        <v>12500</v>
      </c>
      <c r="H69" s="4">
        <v>4</v>
      </c>
      <c r="I69" s="2">
        <v>6</v>
      </c>
      <c r="J69" s="2">
        <v>3</v>
      </c>
      <c r="K69" s="2">
        <v>2</v>
      </c>
      <c r="L69" s="2">
        <v>3</v>
      </c>
      <c r="P69" s="4" t="s">
        <v>335</v>
      </c>
      <c r="Q69" s="4">
        <v>66</v>
      </c>
      <c r="R69" s="2">
        <v>71</v>
      </c>
      <c r="S69" s="2">
        <v>20</v>
      </c>
      <c r="T69" s="2">
        <v>15</v>
      </c>
      <c r="U69" s="2">
        <v>0</v>
      </c>
      <c r="V69" s="2">
        <v>27</v>
      </c>
    </row>
    <row r="70" spans="2:22" x14ac:dyDescent="0.15">
      <c r="B70" s="2">
        <v>65</v>
      </c>
      <c r="C70" s="4" t="s">
        <v>62</v>
      </c>
      <c r="D70" s="2">
        <f t="shared" si="0"/>
        <v>6900</v>
      </c>
      <c r="E70" s="2">
        <f t="shared" si="1"/>
        <v>29</v>
      </c>
      <c r="F70" s="4">
        <v>7</v>
      </c>
      <c r="G70" s="4">
        <v>12500</v>
      </c>
      <c r="H70" s="2">
        <v>4</v>
      </c>
      <c r="I70" s="2">
        <v>6</v>
      </c>
      <c r="J70" s="2">
        <v>3</v>
      </c>
      <c r="K70" s="2">
        <v>2</v>
      </c>
      <c r="L70" s="2">
        <v>3</v>
      </c>
      <c r="P70" s="2" t="s">
        <v>336</v>
      </c>
      <c r="Q70" s="2">
        <v>66</v>
      </c>
      <c r="R70" s="2">
        <v>71</v>
      </c>
      <c r="S70" s="2">
        <v>20</v>
      </c>
      <c r="T70" s="2">
        <v>15</v>
      </c>
      <c r="U70" s="2">
        <v>0</v>
      </c>
      <c r="V70" s="2">
        <v>27</v>
      </c>
    </row>
    <row r="71" spans="2:22" x14ac:dyDescent="0.15">
      <c r="B71" s="2">
        <v>66</v>
      </c>
      <c r="C71" s="4" t="s">
        <v>64</v>
      </c>
      <c r="D71" s="2">
        <f t="shared" ref="D71:D134" si="2">$D$5+(15-F71)*300</f>
        <v>6900</v>
      </c>
      <c r="E71" s="2">
        <f t="shared" ref="E71:E134" si="3">$E$5+(15-F71)*3</f>
        <v>29</v>
      </c>
      <c r="F71" s="4">
        <v>7</v>
      </c>
      <c r="G71" s="4">
        <v>12500</v>
      </c>
      <c r="H71" s="2">
        <v>4</v>
      </c>
      <c r="I71" s="2">
        <v>6</v>
      </c>
      <c r="J71" s="2">
        <v>3</v>
      </c>
      <c r="K71" s="2">
        <v>2</v>
      </c>
      <c r="L71" s="2">
        <v>3</v>
      </c>
      <c r="P71" s="2" t="s">
        <v>337</v>
      </c>
      <c r="Q71" s="2">
        <v>66</v>
      </c>
      <c r="R71" s="2">
        <v>71</v>
      </c>
      <c r="S71" s="2">
        <v>20</v>
      </c>
      <c r="T71" s="2">
        <v>15</v>
      </c>
      <c r="U71" s="2">
        <v>0</v>
      </c>
      <c r="V71" s="2">
        <v>27</v>
      </c>
    </row>
    <row r="72" spans="2:22" x14ac:dyDescent="0.15">
      <c r="B72" s="2">
        <v>67</v>
      </c>
      <c r="C72" s="4" t="s">
        <v>338</v>
      </c>
      <c r="D72" s="2">
        <f t="shared" si="2"/>
        <v>7200</v>
      </c>
      <c r="E72" s="2">
        <f t="shared" si="3"/>
        <v>32</v>
      </c>
      <c r="F72" s="4">
        <v>6</v>
      </c>
      <c r="G72" s="4">
        <v>16500</v>
      </c>
      <c r="H72" s="2">
        <v>3</v>
      </c>
      <c r="I72" s="2">
        <v>2</v>
      </c>
      <c r="J72" s="2">
        <v>7</v>
      </c>
      <c r="K72" s="2">
        <v>8</v>
      </c>
      <c r="L72" s="2">
        <v>6</v>
      </c>
      <c r="P72" s="2" t="s">
        <v>339</v>
      </c>
      <c r="Q72" s="2">
        <v>25</v>
      </c>
      <c r="R72" s="2">
        <v>20</v>
      </c>
      <c r="S72" s="2">
        <v>79</v>
      </c>
      <c r="T72" s="2">
        <v>84</v>
      </c>
      <c r="U72" s="2">
        <v>25</v>
      </c>
      <c r="V72" s="2">
        <v>30</v>
      </c>
    </row>
    <row r="73" spans="2:22" x14ac:dyDescent="0.15">
      <c r="B73" s="2">
        <v>68</v>
      </c>
      <c r="C73" s="4" t="s">
        <v>42</v>
      </c>
      <c r="D73" s="2">
        <f t="shared" si="2"/>
        <v>7200</v>
      </c>
      <c r="E73" s="2">
        <f t="shared" si="3"/>
        <v>32</v>
      </c>
      <c r="F73" s="4">
        <v>6</v>
      </c>
      <c r="G73" s="4">
        <v>16500</v>
      </c>
      <c r="H73" s="2">
        <v>3</v>
      </c>
      <c r="I73" s="2">
        <v>2</v>
      </c>
      <c r="J73" s="2">
        <v>7</v>
      </c>
      <c r="K73" s="2">
        <v>8</v>
      </c>
      <c r="L73" s="2">
        <v>6</v>
      </c>
      <c r="P73" s="2" t="s">
        <v>340</v>
      </c>
      <c r="Q73" s="2">
        <v>25</v>
      </c>
      <c r="R73" s="2">
        <v>20</v>
      </c>
      <c r="S73" s="2">
        <v>79</v>
      </c>
      <c r="T73" s="2">
        <v>84</v>
      </c>
      <c r="U73" s="2">
        <v>45</v>
      </c>
      <c r="V73" s="2">
        <v>30</v>
      </c>
    </row>
    <row r="74" spans="2:22" x14ac:dyDescent="0.15">
      <c r="B74" s="2">
        <v>69</v>
      </c>
      <c r="C74" s="4" t="s">
        <v>341</v>
      </c>
      <c r="D74" s="2">
        <f t="shared" si="2"/>
        <v>7200</v>
      </c>
      <c r="E74" s="2">
        <f t="shared" si="3"/>
        <v>32</v>
      </c>
      <c r="F74" s="4">
        <v>6</v>
      </c>
      <c r="G74" s="4">
        <v>16500</v>
      </c>
      <c r="H74" s="2">
        <v>3</v>
      </c>
      <c r="I74" s="2">
        <v>2</v>
      </c>
      <c r="J74" s="2">
        <v>7</v>
      </c>
      <c r="K74" s="2">
        <v>8</v>
      </c>
      <c r="L74" s="2">
        <v>6</v>
      </c>
      <c r="P74" s="2" t="s">
        <v>342</v>
      </c>
      <c r="Q74" s="2">
        <v>25</v>
      </c>
      <c r="R74" s="2">
        <v>20</v>
      </c>
      <c r="S74" s="2">
        <v>79</v>
      </c>
      <c r="T74" s="2">
        <v>84</v>
      </c>
      <c r="U74" s="2">
        <v>35</v>
      </c>
      <c r="V74" s="2">
        <v>30</v>
      </c>
    </row>
    <row r="75" spans="2:22" x14ac:dyDescent="0.15">
      <c r="B75" s="2">
        <v>70</v>
      </c>
      <c r="C75" s="4" t="s">
        <v>343</v>
      </c>
      <c r="D75" s="2">
        <f t="shared" si="2"/>
        <v>7200</v>
      </c>
      <c r="E75" s="2">
        <f t="shared" si="3"/>
        <v>32</v>
      </c>
      <c r="F75" s="4">
        <v>6</v>
      </c>
      <c r="G75" s="4">
        <v>16500</v>
      </c>
      <c r="H75" s="2">
        <v>3</v>
      </c>
      <c r="I75" s="2">
        <v>2</v>
      </c>
      <c r="J75" s="2">
        <v>7</v>
      </c>
      <c r="K75" s="2">
        <v>8</v>
      </c>
      <c r="L75" s="2">
        <v>6</v>
      </c>
      <c r="P75" s="2" t="s">
        <v>344</v>
      </c>
      <c r="Q75" s="2">
        <v>25</v>
      </c>
      <c r="R75" s="2">
        <v>20</v>
      </c>
      <c r="S75" s="2">
        <v>79</v>
      </c>
      <c r="T75" s="2">
        <v>84</v>
      </c>
      <c r="U75" s="2">
        <v>30</v>
      </c>
      <c r="V75" s="2">
        <v>30</v>
      </c>
    </row>
    <row r="76" spans="2:22" x14ac:dyDescent="0.15">
      <c r="B76" s="2">
        <v>71</v>
      </c>
      <c r="C76" s="4" t="s">
        <v>34</v>
      </c>
      <c r="D76" s="2">
        <f t="shared" si="2"/>
        <v>7200</v>
      </c>
      <c r="E76" s="2">
        <f t="shared" si="3"/>
        <v>32</v>
      </c>
      <c r="F76" s="4">
        <v>6</v>
      </c>
      <c r="G76" s="4">
        <v>16500</v>
      </c>
      <c r="H76" s="2">
        <v>3</v>
      </c>
      <c r="I76" s="2">
        <v>2</v>
      </c>
      <c r="J76" s="2">
        <v>7</v>
      </c>
      <c r="K76" s="2">
        <v>8</v>
      </c>
      <c r="L76" s="2">
        <v>6</v>
      </c>
      <c r="P76" s="2" t="s">
        <v>345</v>
      </c>
      <c r="Q76" s="2">
        <v>25</v>
      </c>
      <c r="R76" s="2">
        <v>20</v>
      </c>
      <c r="S76" s="2">
        <v>79</v>
      </c>
      <c r="T76" s="2">
        <v>84</v>
      </c>
      <c r="U76" s="2">
        <v>0</v>
      </c>
      <c r="V76" s="2">
        <v>30</v>
      </c>
    </row>
    <row r="77" spans="2:22" x14ac:dyDescent="0.15">
      <c r="B77" s="2">
        <v>72</v>
      </c>
      <c r="C77" s="4" t="s">
        <v>31</v>
      </c>
      <c r="D77" s="2">
        <f t="shared" si="2"/>
        <v>7200</v>
      </c>
      <c r="E77" s="2">
        <f t="shared" si="3"/>
        <v>32</v>
      </c>
      <c r="F77" s="4">
        <v>6</v>
      </c>
      <c r="G77" s="4">
        <v>16500</v>
      </c>
      <c r="H77" s="2">
        <v>6</v>
      </c>
      <c r="I77" s="2">
        <v>7</v>
      </c>
      <c r="J77" s="2">
        <v>5</v>
      </c>
      <c r="K77" s="2">
        <v>3</v>
      </c>
      <c r="L77" s="2">
        <v>4</v>
      </c>
      <c r="P77" s="2" t="s">
        <v>346</v>
      </c>
      <c r="Q77" s="2">
        <v>74</v>
      </c>
      <c r="R77" s="2">
        <v>79</v>
      </c>
      <c r="S77" s="2">
        <v>25</v>
      </c>
      <c r="T77" s="2">
        <v>20</v>
      </c>
      <c r="U77" s="2">
        <v>0</v>
      </c>
      <c r="V77" s="2">
        <v>30</v>
      </c>
    </row>
    <row r="78" spans="2:22" x14ac:dyDescent="0.15">
      <c r="B78" s="2">
        <v>73</v>
      </c>
      <c r="C78" s="4" t="s">
        <v>29</v>
      </c>
      <c r="D78" s="2">
        <f t="shared" si="2"/>
        <v>7200</v>
      </c>
      <c r="E78" s="2">
        <f t="shared" si="3"/>
        <v>32</v>
      </c>
      <c r="F78" s="4">
        <v>6</v>
      </c>
      <c r="G78" s="2">
        <v>16500</v>
      </c>
      <c r="H78" s="2">
        <v>6</v>
      </c>
      <c r="I78" s="2">
        <v>7</v>
      </c>
      <c r="J78" s="2">
        <v>5</v>
      </c>
      <c r="K78" s="2">
        <v>3</v>
      </c>
      <c r="L78" s="2">
        <v>4</v>
      </c>
      <c r="P78" s="2" t="s">
        <v>347</v>
      </c>
      <c r="Q78" s="2">
        <v>74</v>
      </c>
      <c r="R78" s="2">
        <v>79</v>
      </c>
      <c r="S78" s="2">
        <v>25</v>
      </c>
      <c r="T78" s="2">
        <v>20</v>
      </c>
      <c r="U78" s="2">
        <v>0</v>
      </c>
      <c r="V78" s="2">
        <v>30</v>
      </c>
    </row>
    <row r="79" spans="2:22" x14ac:dyDescent="0.15">
      <c r="B79" s="2">
        <v>74</v>
      </c>
      <c r="C79" s="4" t="s">
        <v>30</v>
      </c>
      <c r="D79" s="2">
        <f t="shared" si="2"/>
        <v>7200</v>
      </c>
      <c r="E79" s="2">
        <f t="shared" si="3"/>
        <v>32</v>
      </c>
      <c r="F79" s="4">
        <v>6</v>
      </c>
      <c r="G79" s="2">
        <v>16500</v>
      </c>
      <c r="H79" s="2">
        <v>6</v>
      </c>
      <c r="I79" s="2">
        <v>7</v>
      </c>
      <c r="J79" s="2">
        <v>5</v>
      </c>
      <c r="K79" s="2">
        <v>3</v>
      </c>
      <c r="L79" s="2">
        <v>4</v>
      </c>
      <c r="P79" s="2" t="s">
        <v>348</v>
      </c>
      <c r="Q79" s="2">
        <v>74</v>
      </c>
      <c r="R79" s="2">
        <v>79</v>
      </c>
      <c r="S79" s="2">
        <v>25</v>
      </c>
      <c r="T79" s="2">
        <v>20</v>
      </c>
      <c r="U79" s="2">
        <v>0</v>
      </c>
      <c r="V79" s="2">
        <v>30</v>
      </c>
    </row>
    <row r="80" spans="2:22" x14ac:dyDescent="0.15">
      <c r="B80" s="2">
        <v>75</v>
      </c>
      <c r="C80" s="4" t="s">
        <v>32</v>
      </c>
      <c r="D80" s="2">
        <f t="shared" si="2"/>
        <v>7200</v>
      </c>
      <c r="E80" s="2">
        <f t="shared" si="3"/>
        <v>32</v>
      </c>
      <c r="F80" s="4">
        <v>6</v>
      </c>
      <c r="G80" s="2">
        <v>16500</v>
      </c>
      <c r="H80" s="2">
        <v>6</v>
      </c>
      <c r="I80" s="2">
        <v>7</v>
      </c>
      <c r="J80" s="2">
        <v>5</v>
      </c>
      <c r="K80" s="2">
        <v>3</v>
      </c>
      <c r="L80" s="2">
        <v>4</v>
      </c>
      <c r="P80" s="2" t="s">
        <v>349</v>
      </c>
      <c r="Q80" s="2">
        <v>74</v>
      </c>
      <c r="R80" s="2">
        <v>79</v>
      </c>
      <c r="S80" s="2">
        <v>25</v>
      </c>
      <c r="T80" s="2">
        <v>20</v>
      </c>
      <c r="U80" s="2">
        <v>0</v>
      </c>
      <c r="V80" s="2">
        <v>30</v>
      </c>
    </row>
    <row r="81" spans="2:22" x14ac:dyDescent="0.15">
      <c r="B81" s="2">
        <v>76</v>
      </c>
      <c r="C81" s="4" t="s">
        <v>25</v>
      </c>
      <c r="D81" s="2">
        <f t="shared" si="2"/>
        <v>7500</v>
      </c>
      <c r="E81" s="2">
        <f t="shared" si="3"/>
        <v>35</v>
      </c>
      <c r="F81" s="4">
        <v>5</v>
      </c>
      <c r="G81" s="2">
        <v>21000</v>
      </c>
      <c r="H81" s="2">
        <v>3</v>
      </c>
      <c r="I81" s="2">
        <v>2</v>
      </c>
      <c r="J81" s="2">
        <v>7</v>
      </c>
      <c r="K81" s="2">
        <v>8</v>
      </c>
      <c r="L81" s="2">
        <v>6</v>
      </c>
      <c r="P81" s="2" t="s">
        <v>350</v>
      </c>
      <c r="Q81" s="2">
        <v>30</v>
      </c>
      <c r="R81" s="2">
        <v>25</v>
      </c>
      <c r="S81" s="2">
        <v>87</v>
      </c>
      <c r="T81" s="2">
        <v>92</v>
      </c>
      <c r="U81" s="2">
        <v>35</v>
      </c>
      <c r="V81" s="2">
        <v>33</v>
      </c>
    </row>
    <row r="82" spans="2:22" x14ac:dyDescent="0.15">
      <c r="B82" s="2">
        <v>77</v>
      </c>
      <c r="C82" s="4" t="s">
        <v>17</v>
      </c>
      <c r="D82" s="2">
        <f t="shared" si="2"/>
        <v>7500</v>
      </c>
      <c r="E82" s="2">
        <f t="shared" si="3"/>
        <v>35</v>
      </c>
      <c r="F82" s="4">
        <v>5</v>
      </c>
      <c r="G82" s="2">
        <v>21000</v>
      </c>
      <c r="H82" s="2">
        <v>3</v>
      </c>
      <c r="I82" s="2">
        <v>2</v>
      </c>
      <c r="J82" s="2">
        <v>7</v>
      </c>
      <c r="K82" s="2">
        <v>8</v>
      </c>
      <c r="L82" s="2">
        <v>6</v>
      </c>
      <c r="P82" s="2" t="s">
        <v>351</v>
      </c>
      <c r="Q82" s="2">
        <v>30</v>
      </c>
      <c r="R82" s="2">
        <v>25</v>
      </c>
      <c r="S82" s="2">
        <v>87</v>
      </c>
      <c r="T82" s="2">
        <v>92</v>
      </c>
      <c r="U82" s="2">
        <v>55</v>
      </c>
      <c r="V82" s="2">
        <v>33</v>
      </c>
    </row>
    <row r="83" spans="2:22" x14ac:dyDescent="0.15">
      <c r="B83" s="2">
        <v>78</v>
      </c>
      <c r="C83" s="4" t="s">
        <v>26</v>
      </c>
      <c r="D83" s="2">
        <f t="shared" si="2"/>
        <v>7500</v>
      </c>
      <c r="E83" s="2">
        <f t="shared" si="3"/>
        <v>35</v>
      </c>
      <c r="F83" s="4">
        <v>5</v>
      </c>
      <c r="G83" s="2">
        <v>21000</v>
      </c>
      <c r="H83" s="2">
        <v>3</v>
      </c>
      <c r="I83" s="2">
        <v>2</v>
      </c>
      <c r="J83" s="2">
        <v>7</v>
      </c>
      <c r="K83" s="2">
        <v>8</v>
      </c>
      <c r="L83" s="2">
        <v>6</v>
      </c>
      <c r="P83" s="2" t="s">
        <v>352</v>
      </c>
      <c r="Q83" s="2">
        <v>30</v>
      </c>
      <c r="R83" s="2">
        <v>25</v>
      </c>
      <c r="S83" s="2">
        <v>87</v>
      </c>
      <c r="T83" s="2">
        <v>92</v>
      </c>
      <c r="U83" s="2">
        <v>0</v>
      </c>
      <c r="V83" s="2">
        <v>33</v>
      </c>
    </row>
    <row r="84" spans="2:22" x14ac:dyDescent="0.15">
      <c r="B84" s="2">
        <v>79</v>
      </c>
      <c r="C84" s="4" t="s">
        <v>28</v>
      </c>
      <c r="D84" s="2">
        <f t="shared" si="2"/>
        <v>7500</v>
      </c>
      <c r="E84" s="2">
        <f t="shared" si="3"/>
        <v>35</v>
      </c>
      <c r="F84" s="4">
        <v>5</v>
      </c>
      <c r="G84" s="2">
        <v>21000</v>
      </c>
      <c r="H84" s="2">
        <v>3</v>
      </c>
      <c r="I84" s="2">
        <v>2</v>
      </c>
      <c r="J84" s="2">
        <v>7</v>
      </c>
      <c r="K84" s="2">
        <v>8</v>
      </c>
      <c r="L84" s="2">
        <v>6</v>
      </c>
      <c r="P84" s="2" t="s">
        <v>353</v>
      </c>
      <c r="Q84" s="2">
        <v>30</v>
      </c>
      <c r="R84" s="2">
        <v>25</v>
      </c>
      <c r="S84" s="2">
        <v>87</v>
      </c>
      <c r="T84" s="2">
        <v>92</v>
      </c>
      <c r="U84" s="2">
        <v>70</v>
      </c>
      <c r="V84" s="2">
        <v>33</v>
      </c>
    </row>
    <row r="85" spans="2:22" x14ac:dyDescent="0.15">
      <c r="B85" s="2">
        <v>80</v>
      </c>
      <c r="C85" s="4" t="s">
        <v>18</v>
      </c>
      <c r="D85" s="2">
        <f t="shared" si="2"/>
        <v>7500</v>
      </c>
      <c r="E85" s="2">
        <f t="shared" si="3"/>
        <v>35</v>
      </c>
      <c r="F85" s="4">
        <v>5</v>
      </c>
      <c r="G85" s="2">
        <v>21000</v>
      </c>
      <c r="H85" s="2">
        <v>3</v>
      </c>
      <c r="I85" s="2">
        <v>2</v>
      </c>
      <c r="J85" s="2">
        <v>7</v>
      </c>
      <c r="K85" s="2">
        <v>8</v>
      </c>
      <c r="L85" s="2">
        <v>6</v>
      </c>
      <c r="P85" s="2" t="s">
        <v>354</v>
      </c>
      <c r="Q85" s="2">
        <v>30</v>
      </c>
      <c r="R85" s="2">
        <v>25</v>
      </c>
      <c r="S85" s="2">
        <v>87</v>
      </c>
      <c r="T85" s="2">
        <v>92</v>
      </c>
      <c r="U85" s="2">
        <v>0</v>
      </c>
      <c r="V85" s="2">
        <v>33</v>
      </c>
    </row>
    <row r="86" spans="2:22" x14ac:dyDescent="0.15">
      <c r="B86" s="2">
        <v>81</v>
      </c>
      <c r="C86" s="2" t="s">
        <v>36</v>
      </c>
      <c r="D86" s="2">
        <f t="shared" si="2"/>
        <v>7500</v>
      </c>
      <c r="E86" s="2">
        <f t="shared" si="3"/>
        <v>35</v>
      </c>
      <c r="F86" s="2">
        <v>5</v>
      </c>
      <c r="G86" s="2">
        <v>21000</v>
      </c>
      <c r="H86" s="2">
        <v>3</v>
      </c>
      <c r="I86" s="2">
        <v>2</v>
      </c>
      <c r="J86" s="2">
        <v>7</v>
      </c>
      <c r="K86" s="2">
        <v>8</v>
      </c>
      <c r="L86" s="2">
        <v>6</v>
      </c>
      <c r="P86" s="2" t="s">
        <v>355</v>
      </c>
      <c r="Q86" s="2">
        <v>30</v>
      </c>
      <c r="R86" s="2">
        <v>25</v>
      </c>
      <c r="S86" s="2">
        <v>87</v>
      </c>
      <c r="T86" s="2">
        <v>92</v>
      </c>
      <c r="U86" s="2">
        <v>0</v>
      </c>
      <c r="V86" s="2">
        <v>33</v>
      </c>
    </row>
    <row r="87" spans="2:22" x14ac:dyDescent="0.15">
      <c r="B87" s="2">
        <v>82</v>
      </c>
      <c r="C87" s="2" t="s">
        <v>23</v>
      </c>
      <c r="D87" s="2">
        <f t="shared" si="2"/>
        <v>7500</v>
      </c>
      <c r="E87" s="2">
        <f t="shared" si="3"/>
        <v>35</v>
      </c>
      <c r="F87" s="2">
        <v>5</v>
      </c>
      <c r="G87" s="2">
        <v>21000</v>
      </c>
      <c r="H87" s="2">
        <v>6</v>
      </c>
      <c r="I87" s="2">
        <v>7</v>
      </c>
      <c r="J87" s="2">
        <v>5</v>
      </c>
      <c r="K87" s="2">
        <v>3</v>
      </c>
      <c r="L87" s="2">
        <v>4</v>
      </c>
      <c r="P87" s="2" t="s">
        <v>356</v>
      </c>
      <c r="Q87" s="2">
        <v>82</v>
      </c>
      <c r="R87" s="2">
        <v>87</v>
      </c>
      <c r="S87" s="2">
        <v>30</v>
      </c>
      <c r="T87" s="2">
        <v>25</v>
      </c>
      <c r="U87" s="2">
        <v>0</v>
      </c>
      <c r="V87" s="2">
        <v>33</v>
      </c>
    </row>
    <row r="88" spans="2:22" x14ac:dyDescent="0.15">
      <c r="B88" s="2">
        <v>83</v>
      </c>
      <c r="C88" s="2" t="s">
        <v>21</v>
      </c>
      <c r="D88" s="2">
        <f t="shared" si="2"/>
        <v>7500</v>
      </c>
      <c r="E88" s="2">
        <f t="shared" si="3"/>
        <v>35</v>
      </c>
      <c r="F88" s="2">
        <v>5</v>
      </c>
      <c r="G88" s="2">
        <v>21000</v>
      </c>
      <c r="H88" s="2">
        <v>6</v>
      </c>
      <c r="I88" s="2">
        <v>7</v>
      </c>
      <c r="J88" s="2">
        <v>5</v>
      </c>
      <c r="K88" s="2">
        <v>3</v>
      </c>
      <c r="L88" s="2">
        <v>4</v>
      </c>
      <c r="P88" s="2" t="s">
        <v>357</v>
      </c>
      <c r="Q88" s="2">
        <v>82</v>
      </c>
      <c r="R88" s="2">
        <v>87</v>
      </c>
      <c r="S88" s="2">
        <v>30</v>
      </c>
      <c r="T88" s="2">
        <v>25</v>
      </c>
      <c r="U88" s="2">
        <v>0</v>
      </c>
      <c r="V88" s="2">
        <v>33</v>
      </c>
    </row>
    <row r="89" spans="2:22" x14ac:dyDescent="0.15">
      <c r="B89" s="2">
        <v>84</v>
      </c>
      <c r="C89" s="2" t="s">
        <v>22</v>
      </c>
      <c r="D89" s="2">
        <f t="shared" si="2"/>
        <v>7500</v>
      </c>
      <c r="E89" s="2">
        <f t="shared" si="3"/>
        <v>35</v>
      </c>
      <c r="F89" s="2">
        <v>5</v>
      </c>
      <c r="G89" s="2">
        <v>21000</v>
      </c>
      <c r="H89" s="2">
        <v>6</v>
      </c>
      <c r="I89" s="2">
        <v>7</v>
      </c>
      <c r="J89" s="2">
        <v>5</v>
      </c>
      <c r="K89" s="2">
        <v>3</v>
      </c>
      <c r="L89" s="2">
        <v>4</v>
      </c>
      <c r="P89" s="2" t="s">
        <v>358</v>
      </c>
      <c r="Q89" s="2">
        <v>82</v>
      </c>
      <c r="R89" s="2">
        <v>87</v>
      </c>
      <c r="S89" s="2">
        <v>30</v>
      </c>
      <c r="T89" s="2">
        <v>25</v>
      </c>
      <c r="U89" s="2">
        <v>0</v>
      </c>
      <c r="V89" s="2">
        <v>33</v>
      </c>
    </row>
    <row r="90" spans="2:22" x14ac:dyDescent="0.15">
      <c r="B90" s="2">
        <v>85</v>
      </c>
      <c r="C90" s="2" t="s">
        <v>24</v>
      </c>
      <c r="D90" s="2">
        <f t="shared" si="2"/>
        <v>7500</v>
      </c>
      <c r="E90" s="2">
        <f t="shared" si="3"/>
        <v>35</v>
      </c>
      <c r="F90" s="2">
        <v>5</v>
      </c>
      <c r="G90" s="2">
        <v>21000</v>
      </c>
      <c r="H90" s="2">
        <v>6</v>
      </c>
      <c r="I90" s="2">
        <v>7</v>
      </c>
      <c r="J90" s="2">
        <v>5</v>
      </c>
      <c r="K90" s="2">
        <v>3</v>
      </c>
      <c r="L90" s="2">
        <v>4</v>
      </c>
      <c r="P90" s="2" t="s">
        <v>359</v>
      </c>
      <c r="Q90" s="2">
        <v>82</v>
      </c>
      <c r="R90" s="2">
        <v>87</v>
      </c>
      <c r="S90" s="2">
        <v>30</v>
      </c>
      <c r="T90" s="2">
        <v>25</v>
      </c>
      <c r="U90" s="2">
        <v>0</v>
      </c>
      <c r="V90" s="2">
        <v>33</v>
      </c>
    </row>
    <row r="91" spans="2:22" x14ac:dyDescent="0.15">
      <c r="B91" s="2">
        <v>86</v>
      </c>
      <c r="C91" s="2" t="s">
        <v>27</v>
      </c>
      <c r="D91" s="2">
        <f t="shared" si="2"/>
        <v>7800</v>
      </c>
      <c r="E91" s="2">
        <f t="shared" si="3"/>
        <v>38</v>
      </c>
      <c r="F91" s="2">
        <v>4</v>
      </c>
      <c r="G91" s="2">
        <v>26500</v>
      </c>
      <c r="H91" s="2">
        <v>4</v>
      </c>
      <c r="I91" s="2">
        <v>3</v>
      </c>
      <c r="J91" s="2">
        <v>8</v>
      </c>
      <c r="K91" s="2">
        <v>9</v>
      </c>
      <c r="L91" s="2">
        <v>7</v>
      </c>
      <c r="P91" s="2" t="s">
        <v>360</v>
      </c>
      <c r="Q91" s="2">
        <v>35</v>
      </c>
      <c r="R91" s="2">
        <v>30</v>
      </c>
      <c r="S91" s="2">
        <v>95</v>
      </c>
      <c r="T91" s="2">
        <v>95</v>
      </c>
      <c r="U91" s="2">
        <v>55</v>
      </c>
      <c r="V91" s="2">
        <v>37</v>
      </c>
    </row>
    <row r="92" spans="2:22" x14ac:dyDescent="0.15">
      <c r="B92" s="2">
        <v>87</v>
      </c>
      <c r="C92" s="2" t="s">
        <v>20</v>
      </c>
      <c r="D92" s="2">
        <f t="shared" si="2"/>
        <v>7800</v>
      </c>
      <c r="E92" s="2">
        <f t="shared" si="3"/>
        <v>38</v>
      </c>
      <c r="F92" s="2">
        <v>4</v>
      </c>
      <c r="G92" s="2">
        <v>26500</v>
      </c>
      <c r="H92" s="2">
        <v>4</v>
      </c>
      <c r="I92" s="2">
        <v>3</v>
      </c>
      <c r="J92" s="2">
        <v>8</v>
      </c>
      <c r="K92" s="2">
        <v>9</v>
      </c>
      <c r="L92" s="2">
        <v>7</v>
      </c>
      <c r="P92" s="2" t="s">
        <v>361</v>
      </c>
      <c r="Q92" s="2">
        <v>35</v>
      </c>
      <c r="R92" s="2">
        <v>30</v>
      </c>
      <c r="S92" s="2">
        <v>95</v>
      </c>
      <c r="T92" s="2">
        <v>95</v>
      </c>
      <c r="U92" s="2">
        <v>0</v>
      </c>
      <c r="V92" s="2">
        <v>37</v>
      </c>
    </row>
    <row r="93" spans="2:22" x14ac:dyDescent="0.15">
      <c r="B93" s="2">
        <v>88</v>
      </c>
      <c r="C93" s="2" t="s">
        <v>19</v>
      </c>
      <c r="D93" s="2">
        <f t="shared" si="2"/>
        <v>7800</v>
      </c>
      <c r="E93" s="2">
        <f t="shared" si="3"/>
        <v>38</v>
      </c>
      <c r="F93" s="2">
        <v>4</v>
      </c>
      <c r="G93" s="2">
        <v>26500</v>
      </c>
      <c r="H93" s="2">
        <v>4</v>
      </c>
      <c r="I93" s="2">
        <v>3</v>
      </c>
      <c r="J93" s="2">
        <v>8</v>
      </c>
      <c r="K93" s="2">
        <v>9</v>
      </c>
      <c r="L93" s="2">
        <v>7</v>
      </c>
      <c r="P93" s="2" t="s">
        <v>362</v>
      </c>
      <c r="Q93" s="2">
        <v>35</v>
      </c>
      <c r="R93" s="2">
        <v>30</v>
      </c>
      <c r="S93" s="2">
        <v>95</v>
      </c>
      <c r="T93" s="2">
        <v>95</v>
      </c>
      <c r="U93" s="2">
        <v>0</v>
      </c>
      <c r="V93" s="2">
        <v>37</v>
      </c>
    </row>
    <row r="94" spans="2:22" x14ac:dyDescent="0.15">
      <c r="B94" s="2">
        <v>89</v>
      </c>
      <c r="C94" s="2" t="s">
        <v>363</v>
      </c>
      <c r="D94" s="2">
        <f t="shared" si="2"/>
        <v>7800</v>
      </c>
      <c r="E94" s="2">
        <f t="shared" si="3"/>
        <v>38</v>
      </c>
      <c r="F94" s="2">
        <v>4</v>
      </c>
      <c r="G94" s="2">
        <v>26500</v>
      </c>
      <c r="H94" s="2">
        <v>4</v>
      </c>
      <c r="I94" s="2">
        <v>3</v>
      </c>
      <c r="J94" s="2">
        <v>8</v>
      </c>
      <c r="K94" s="2">
        <v>9</v>
      </c>
      <c r="L94" s="2">
        <v>7</v>
      </c>
      <c r="P94" s="2" t="s">
        <v>364</v>
      </c>
      <c r="Q94" s="2">
        <v>35</v>
      </c>
      <c r="R94" s="2">
        <v>30</v>
      </c>
      <c r="S94" s="2">
        <v>95</v>
      </c>
      <c r="T94" s="2">
        <v>95</v>
      </c>
      <c r="U94" s="2">
        <v>45</v>
      </c>
      <c r="V94" s="2">
        <v>37</v>
      </c>
    </row>
    <row r="95" spans="2:22" x14ac:dyDescent="0.15">
      <c r="B95" s="2">
        <v>90</v>
      </c>
      <c r="C95" s="2" t="s">
        <v>35</v>
      </c>
      <c r="D95" s="2">
        <f t="shared" si="2"/>
        <v>7800</v>
      </c>
      <c r="E95" s="2">
        <f t="shared" si="3"/>
        <v>38</v>
      </c>
      <c r="F95" s="2">
        <v>4</v>
      </c>
      <c r="G95" s="2">
        <v>26500</v>
      </c>
      <c r="H95" s="2">
        <v>4</v>
      </c>
      <c r="I95" s="2">
        <v>3</v>
      </c>
      <c r="J95" s="2">
        <v>8</v>
      </c>
      <c r="K95" s="2">
        <v>9</v>
      </c>
      <c r="L95" s="2">
        <v>7</v>
      </c>
      <c r="P95" s="2" t="s">
        <v>365</v>
      </c>
      <c r="Q95" s="2">
        <v>35</v>
      </c>
      <c r="R95" s="2">
        <v>30</v>
      </c>
      <c r="S95" s="2">
        <v>95</v>
      </c>
      <c r="T95" s="2">
        <v>95</v>
      </c>
      <c r="U95" s="2">
        <v>40</v>
      </c>
      <c r="V95" s="2">
        <v>37</v>
      </c>
    </row>
    <row r="96" spans="2:22" x14ac:dyDescent="0.15">
      <c r="B96" s="2">
        <v>91</v>
      </c>
      <c r="C96" s="2" t="s">
        <v>366</v>
      </c>
      <c r="D96" s="2">
        <f t="shared" si="2"/>
        <v>7800</v>
      </c>
      <c r="E96" s="2">
        <f t="shared" si="3"/>
        <v>38</v>
      </c>
      <c r="F96" s="2">
        <v>4</v>
      </c>
      <c r="G96" s="2">
        <v>26500</v>
      </c>
      <c r="H96" s="2">
        <v>4</v>
      </c>
      <c r="I96" s="2">
        <v>3</v>
      </c>
      <c r="J96" s="2">
        <v>8</v>
      </c>
      <c r="K96" s="2">
        <v>9</v>
      </c>
      <c r="L96" s="2">
        <v>7</v>
      </c>
      <c r="P96" s="2" t="s">
        <v>367</v>
      </c>
      <c r="Q96" s="2">
        <v>35</v>
      </c>
      <c r="R96" s="2">
        <v>30</v>
      </c>
      <c r="S96" s="2">
        <v>95</v>
      </c>
      <c r="T96" s="2">
        <v>95</v>
      </c>
      <c r="U96" s="2">
        <v>0</v>
      </c>
      <c r="V96" s="2">
        <v>37</v>
      </c>
    </row>
    <row r="97" spans="2:22" x14ac:dyDescent="0.15">
      <c r="B97" s="2">
        <v>92</v>
      </c>
      <c r="C97" s="2" t="s">
        <v>47</v>
      </c>
      <c r="D97" s="2">
        <f t="shared" si="2"/>
        <v>7800</v>
      </c>
      <c r="E97" s="2">
        <f t="shared" si="3"/>
        <v>38</v>
      </c>
      <c r="F97" s="2">
        <v>4</v>
      </c>
      <c r="G97" s="2">
        <v>26500</v>
      </c>
      <c r="H97" s="2">
        <v>7</v>
      </c>
      <c r="I97" s="2">
        <v>8</v>
      </c>
      <c r="J97" s="2">
        <v>6</v>
      </c>
      <c r="K97" s="2">
        <v>4</v>
      </c>
      <c r="L97" s="2">
        <v>5</v>
      </c>
      <c r="P97" s="2" t="s">
        <v>368</v>
      </c>
      <c r="Q97" s="2">
        <v>90</v>
      </c>
      <c r="R97" s="2">
        <v>95</v>
      </c>
      <c r="S97" s="2">
        <v>35</v>
      </c>
      <c r="T97" s="2">
        <v>30</v>
      </c>
      <c r="U97" s="2">
        <v>0</v>
      </c>
      <c r="V97" s="2">
        <v>37</v>
      </c>
    </row>
    <row r="98" spans="2:22" x14ac:dyDescent="0.15">
      <c r="B98" s="2">
        <v>93</v>
      </c>
      <c r="C98" s="2" t="s">
        <v>48</v>
      </c>
      <c r="D98" s="2">
        <f t="shared" si="2"/>
        <v>7800</v>
      </c>
      <c r="E98" s="2">
        <f t="shared" si="3"/>
        <v>38</v>
      </c>
      <c r="F98" s="2">
        <v>4</v>
      </c>
      <c r="G98" s="2">
        <v>26500</v>
      </c>
      <c r="H98" s="2">
        <v>7</v>
      </c>
      <c r="I98" s="2">
        <v>8</v>
      </c>
      <c r="J98" s="2">
        <v>6</v>
      </c>
      <c r="K98" s="2">
        <v>4</v>
      </c>
      <c r="L98" s="2">
        <v>5</v>
      </c>
      <c r="P98" s="2" t="s">
        <v>369</v>
      </c>
      <c r="Q98" s="2">
        <v>90</v>
      </c>
      <c r="R98" s="2">
        <v>95</v>
      </c>
      <c r="S98" s="2">
        <v>35</v>
      </c>
      <c r="T98" s="2">
        <v>30</v>
      </c>
      <c r="U98" s="2">
        <v>0</v>
      </c>
      <c r="V98" s="2">
        <v>37</v>
      </c>
    </row>
    <row r="99" spans="2:22" x14ac:dyDescent="0.15">
      <c r="B99" s="2">
        <v>94</v>
      </c>
      <c r="C99" s="2" t="s">
        <v>45</v>
      </c>
      <c r="D99" s="2">
        <f t="shared" si="2"/>
        <v>7800</v>
      </c>
      <c r="E99" s="2">
        <f t="shared" si="3"/>
        <v>38</v>
      </c>
      <c r="F99" s="2">
        <v>4</v>
      </c>
      <c r="G99" s="2">
        <v>26500</v>
      </c>
      <c r="H99" s="2">
        <v>7</v>
      </c>
      <c r="I99" s="2">
        <v>8</v>
      </c>
      <c r="J99" s="2">
        <v>6</v>
      </c>
      <c r="K99" s="2">
        <v>4</v>
      </c>
      <c r="L99" s="2">
        <v>5</v>
      </c>
      <c r="P99" s="2" t="s">
        <v>370</v>
      </c>
      <c r="Q99" s="2">
        <v>90</v>
      </c>
      <c r="R99" s="2">
        <v>95</v>
      </c>
      <c r="S99" s="2">
        <v>35</v>
      </c>
      <c r="T99" s="2">
        <v>30</v>
      </c>
      <c r="U99" s="2">
        <v>0</v>
      </c>
      <c r="V99" s="2">
        <v>37</v>
      </c>
    </row>
    <row r="100" spans="2:22" x14ac:dyDescent="0.15">
      <c r="B100" s="2">
        <v>95</v>
      </c>
      <c r="C100" s="2" t="s">
        <v>46</v>
      </c>
      <c r="D100" s="2">
        <f t="shared" si="2"/>
        <v>7800</v>
      </c>
      <c r="E100" s="2">
        <f t="shared" si="3"/>
        <v>38</v>
      </c>
      <c r="F100" s="2">
        <v>4</v>
      </c>
      <c r="G100" s="2">
        <v>26500</v>
      </c>
      <c r="H100" s="2">
        <v>7</v>
      </c>
      <c r="I100" s="2">
        <v>8</v>
      </c>
      <c r="J100" s="2">
        <v>6</v>
      </c>
      <c r="K100" s="2">
        <v>4</v>
      </c>
      <c r="L100" s="2">
        <v>5</v>
      </c>
      <c r="P100" s="2" t="s">
        <v>371</v>
      </c>
      <c r="Q100" s="2">
        <v>90</v>
      </c>
      <c r="R100" s="2">
        <v>95</v>
      </c>
      <c r="S100" s="2">
        <v>35</v>
      </c>
      <c r="T100" s="2">
        <v>30</v>
      </c>
      <c r="U100" s="2">
        <v>0</v>
      </c>
      <c r="V100" s="2">
        <v>37</v>
      </c>
    </row>
    <row r="101" spans="2:22" x14ac:dyDescent="0.15">
      <c r="B101" s="2">
        <v>96</v>
      </c>
      <c r="C101" s="2" t="s">
        <v>11</v>
      </c>
      <c r="D101" s="2">
        <f t="shared" si="2"/>
        <v>8100</v>
      </c>
      <c r="E101" s="2">
        <f t="shared" si="3"/>
        <v>41</v>
      </c>
      <c r="F101" s="2">
        <v>3</v>
      </c>
      <c r="G101" s="2">
        <v>33000</v>
      </c>
      <c r="H101" s="2">
        <v>4</v>
      </c>
      <c r="I101" s="2">
        <v>3</v>
      </c>
      <c r="J101" s="2">
        <v>8</v>
      </c>
      <c r="K101" s="2">
        <v>9</v>
      </c>
      <c r="L101" s="2">
        <v>7</v>
      </c>
      <c r="P101" s="2" t="s">
        <v>372</v>
      </c>
      <c r="Q101" s="2">
        <v>40</v>
      </c>
      <c r="R101" s="2">
        <v>35</v>
      </c>
      <c r="S101" s="2">
        <v>95</v>
      </c>
      <c r="T101" s="2">
        <v>95</v>
      </c>
      <c r="U101" s="2">
        <v>50</v>
      </c>
      <c r="V101" s="2">
        <v>40</v>
      </c>
    </row>
    <row r="102" spans="2:22" x14ac:dyDescent="0.15">
      <c r="B102" s="2">
        <v>97</v>
      </c>
      <c r="C102" s="2" t="s">
        <v>12</v>
      </c>
      <c r="D102" s="2">
        <f t="shared" si="2"/>
        <v>8100</v>
      </c>
      <c r="E102" s="2">
        <f t="shared" si="3"/>
        <v>41</v>
      </c>
      <c r="F102" s="2">
        <v>3</v>
      </c>
      <c r="G102" s="2">
        <v>33000</v>
      </c>
      <c r="H102" s="2">
        <v>4</v>
      </c>
      <c r="I102" s="2">
        <v>3</v>
      </c>
      <c r="J102" s="2">
        <v>8</v>
      </c>
      <c r="K102" s="2">
        <v>9</v>
      </c>
      <c r="L102" s="2">
        <v>7</v>
      </c>
      <c r="P102" s="2" t="s">
        <v>373</v>
      </c>
      <c r="Q102" s="2">
        <v>40</v>
      </c>
      <c r="R102" s="2">
        <v>35</v>
      </c>
      <c r="S102" s="2">
        <v>95</v>
      </c>
      <c r="T102" s="2">
        <v>95</v>
      </c>
      <c r="U102" s="2">
        <v>55</v>
      </c>
      <c r="V102" s="2">
        <v>40</v>
      </c>
    </row>
    <row r="103" spans="2:22" x14ac:dyDescent="0.15">
      <c r="B103" s="2">
        <v>98</v>
      </c>
      <c r="C103" s="2" t="s">
        <v>10</v>
      </c>
      <c r="D103" s="2">
        <f t="shared" si="2"/>
        <v>8100</v>
      </c>
      <c r="E103" s="2">
        <f t="shared" si="3"/>
        <v>41</v>
      </c>
      <c r="F103" s="2">
        <v>3</v>
      </c>
      <c r="G103" s="2">
        <v>33000</v>
      </c>
      <c r="H103" s="2">
        <v>4</v>
      </c>
      <c r="I103" s="2">
        <v>3</v>
      </c>
      <c r="J103" s="2">
        <v>8</v>
      </c>
      <c r="K103" s="2">
        <v>9</v>
      </c>
      <c r="L103" s="2">
        <v>7</v>
      </c>
      <c r="P103" s="2" t="s">
        <v>374</v>
      </c>
      <c r="Q103" s="2">
        <v>40</v>
      </c>
      <c r="R103" s="2">
        <v>35</v>
      </c>
      <c r="S103" s="2">
        <v>95</v>
      </c>
      <c r="T103" s="2">
        <v>95</v>
      </c>
      <c r="U103" s="2">
        <v>30</v>
      </c>
      <c r="V103" s="2">
        <v>40</v>
      </c>
    </row>
    <row r="104" spans="2:22" x14ac:dyDescent="0.15">
      <c r="B104" s="2">
        <v>99</v>
      </c>
      <c r="C104" s="2" t="s">
        <v>375</v>
      </c>
      <c r="D104" s="2">
        <f t="shared" si="2"/>
        <v>8100</v>
      </c>
      <c r="E104" s="2">
        <f t="shared" si="3"/>
        <v>41</v>
      </c>
      <c r="F104" s="2">
        <v>3</v>
      </c>
      <c r="G104" s="2">
        <v>33000</v>
      </c>
      <c r="H104" s="2">
        <v>4</v>
      </c>
      <c r="I104" s="2">
        <v>3</v>
      </c>
      <c r="J104" s="2">
        <v>8</v>
      </c>
      <c r="K104" s="2">
        <v>9</v>
      </c>
      <c r="L104" s="2">
        <v>7</v>
      </c>
      <c r="P104" s="2" t="s">
        <v>376</v>
      </c>
      <c r="Q104" s="2">
        <v>40</v>
      </c>
      <c r="R104" s="2">
        <v>35</v>
      </c>
      <c r="S104" s="2">
        <v>95</v>
      </c>
      <c r="T104" s="2">
        <v>95</v>
      </c>
      <c r="U104" s="2">
        <v>0</v>
      </c>
      <c r="V104" s="2">
        <v>40</v>
      </c>
    </row>
    <row r="105" spans="2:22" x14ac:dyDescent="0.15">
      <c r="B105" s="2">
        <v>100</v>
      </c>
      <c r="C105" s="2" t="s">
        <v>377</v>
      </c>
      <c r="D105" s="2">
        <f t="shared" si="2"/>
        <v>8100</v>
      </c>
      <c r="E105" s="2">
        <f t="shared" si="3"/>
        <v>41</v>
      </c>
      <c r="F105" s="2">
        <v>3</v>
      </c>
      <c r="G105" s="2">
        <v>33000</v>
      </c>
      <c r="H105" s="2">
        <v>4</v>
      </c>
      <c r="I105" s="2">
        <v>3</v>
      </c>
      <c r="J105" s="2">
        <v>8</v>
      </c>
      <c r="K105" s="2">
        <v>9</v>
      </c>
      <c r="L105" s="2">
        <v>7</v>
      </c>
      <c r="P105" s="2" t="s">
        <v>378</v>
      </c>
      <c r="Q105" s="2">
        <v>40</v>
      </c>
      <c r="R105" s="2">
        <v>35</v>
      </c>
      <c r="S105" s="2">
        <v>95</v>
      </c>
      <c r="T105" s="2">
        <v>95</v>
      </c>
      <c r="U105" s="2">
        <v>50</v>
      </c>
      <c r="V105" s="2">
        <v>40</v>
      </c>
    </row>
    <row r="106" spans="2:22" x14ac:dyDescent="0.15">
      <c r="B106" s="2">
        <v>101</v>
      </c>
      <c r="C106" s="2" t="s">
        <v>16</v>
      </c>
      <c r="D106" s="2">
        <f t="shared" si="2"/>
        <v>8100</v>
      </c>
      <c r="E106" s="2">
        <f t="shared" si="3"/>
        <v>41</v>
      </c>
      <c r="F106" s="2">
        <v>3</v>
      </c>
      <c r="G106" s="2">
        <v>33000</v>
      </c>
      <c r="H106" s="2">
        <v>7</v>
      </c>
      <c r="I106" s="2">
        <v>8</v>
      </c>
      <c r="J106" s="2">
        <v>6</v>
      </c>
      <c r="K106" s="2">
        <v>4</v>
      </c>
      <c r="L106" s="2">
        <v>5</v>
      </c>
      <c r="P106" s="2" t="s">
        <v>379</v>
      </c>
      <c r="Q106" s="2">
        <v>95</v>
      </c>
      <c r="R106" s="2">
        <v>95</v>
      </c>
      <c r="S106" s="2">
        <v>40</v>
      </c>
      <c r="T106" s="2">
        <v>35</v>
      </c>
      <c r="U106" s="2">
        <v>0</v>
      </c>
      <c r="V106" s="2">
        <v>40</v>
      </c>
    </row>
    <row r="107" spans="2:22" x14ac:dyDescent="0.15">
      <c r="B107" s="2">
        <v>102</v>
      </c>
      <c r="C107" s="2" t="s">
        <v>15</v>
      </c>
      <c r="D107" s="2">
        <f t="shared" si="2"/>
        <v>8100</v>
      </c>
      <c r="E107" s="2">
        <f t="shared" si="3"/>
        <v>41</v>
      </c>
      <c r="F107" s="2">
        <v>3</v>
      </c>
      <c r="G107" s="2">
        <v>33000</v>
      </c>
      <c r="H107" s="2">
        <v>7</v>
      </c>
      <c r="I107" s="2">
        <v>8</v>
      </c>
      <c r="J107" s="2">
        <v>6</v>
      </c>
      <c r="K107" s="2">
        <v>4</v>
      </c>
      <c r="L107" s="2">
        <v>5</v>
      </c>
      <c r="P107" s="2" t="s">
        <v>380</v>
      </c>
      <c r="Q107" s="2">
        <v>95</v>
      </c>
      <c r="R107" s="2">
        <v>95</v>
      </c>
      <c r="S107" s="2">
        <v>40</v>
      </c>
      <c r="T107" s="2">
        <v>35</v>
      </c>
      <c r="U107" s="2">
        <v>0</v>
      </c>
      <c r="V107" s="2">
        <v>40</v>
      </c>
    </row>
    <row r="108" spans="2:22" x14ac:dyDescent="0.15">
      <c r="B108" s="2">
        <v>103</v>
      </c>
      <c r="C108" s="2" t="s">
        <v>14</v>
      </c>
      <c r="D108" s="2">
        <f t="shared" si="2"/>
        <v>8100</v>
      </c>
      <c r="E108" s="2">
        <f t="shared" si="3"/>
        <v>41</v>
      </c>
      <c r="F108" s="2">
        <v>3</v>
      </c>
      <c r="G108" s="2">
        <v>33000</v>
      </c>
      <c r="H108" s="2">
        <v>7</v>
      </c>
      <c r="I108" s="2">
        <v>8</v>
      </c>
      <c r="J108" s="2">
        <v>6</v>
      </c>
      <c r="K108" s="2">
        <v>4</v>
      </c>
      <c r="L108" s="2">
        <v>5</v>
      </c>
      <c r="P108" s="2" t="s">
        <v>381</v>
      </c>
      <c r="Q108" s="2">
        <v>95</v>
      </c>
      <c r="R108" s="2">
        <v>95</v>
      </c>
      <c r="S108" s="2">
        <v>40</v>
      </c>
      <c r="T108" s="2">
        <v>35</v>
      </c>
      <c r="U108" s="2">
        <v>0</v>
      </c>
      <c r="V108" s="2">
        <v>40</v>
      </c>
    </row>
    <row r="109" spans="2:22" x14ac:dyDescent="0.15">
      <c r="B109" s="2">
        <v>104</v>
      </c>
      <c r="C109" s="2" t="s">
        <v>382</v>
      </c>
      <c r="D109" s="2">
        <f t="shared" si="2"/>
        <v>8100</v>
      </c>
      <c r="E109" s="2">
        <f t="shared" si="3"/>
        <v>41</v>
      </c>
      <c r="F109" s="2">
        <v>3</v>
      </c>
      <c r="G109" s="2">
        <v>33000</v>
      </c>
      <c r="H109" s="2">
        <v>7</v>
      </c>
      <c r="I109" s="2">
        <v>8</v>
      </c>
      <c r="J109" s="2">
        <v>6</v>
      </c>
      <c r="K109" s="2">
        <v>4</v>
      </c>
      <c r="L109" s="2">
        <v>5</v>
      </c>
      <c r="P109" s="2" t="s">
        <v>383</v>
      </c>
      <c r="Q109" s="2">
        <v>95</v>
      </c>
      <c r="R109" s="2">
        <v>95</v>
      </c>
      <c r="S109" s="2">
        <v>40</v>
      </c>
      <c r="T109" s="2">
        <v>35</v>
      </c>
      <c r="U109" s="2">
        <v>0</v>
      </c>
      <c r="V109" s="2">
        <v>40</v>
      </c>
    </row>
    <row r="110" spans="2:22" x14ac:dyDescent="0.15">
      <c r="B110" s="2">
        <v>105</v>
      </c>
      <c r="C110" s="2" t="s">
        <v>384</v>
      </c>
      <c r="D110" s="2">
        <f t="shared" si="2"/>
        <v>8400</v>
      </c>
      <c r="E110" s="2">
        <f t="shared" si="3"/>
        <v>44</v>
      </c>
      <c r="F110" s="2">
        <v>2</v>
      </c>
      <c r="G110" s="2">
        <v>41000</v>
      </c>
      <c r="H110" s="2">
        <v>5</v>
      </c>
      <c r="I110" s="2">
        <v>4</v>
      </c>
      <c r="J110" s="2">
        <v>9</v>
      </c>
      <c r="K110" s="2">
        <v>10</v>
      </c>
      <c r="L110" s="2">
        <v>8</v>
      </c>
      <c r="P110" s="2" t="s">
        <v>385</v>
      </c>
      <c r="Q110" s="2">
        <v>45</v>
      </c>
      <c r="R110" s="2">
        <v>40</v>
      </c>
      <c r="S110" s="2">
        <v>95</v>
      </c>
      <c r="T110" s="2">
        <v>95</v>
      </c>
      <c r="U110" s="2">
        <v>65</v>
      </c>
      <c r="V110" s="2">
        <v>43</v>
      </c>
    </row>
    <row r="111" spans="2:22" x14ac:dyDescent="0.15">
      <c r="B111" s="2">
        <v>106</v>
      </c>
      <c r="C111" s="2" t="s">
        <v>386</v>
      </c>
      <c r="D111" s="2">
        <f t="shared" si="2"/>
        <v>8400</v>
      </c>
      <c r="E111" s="2">
        <f t="shared" si="3"/>
        <v>44</v>
      </c>
      <c r="F111" s="2">
        <v>2</v>
      </c>
      <c r="G111" s="2">
        <v>41000</v>
      </c>
      <c r="H111" s="2">
        <v>5</v>
      </c>
      <c r="I111" s="2">
        <v>4</v>
      </c>
      <c r="J111" s="2">
        <v>9</v>
      </c>
      <c r="K111" s="2">
        <v>10</v>
      </c>
      <c r="L111" s="2">
        <v>8</v>
      </c>
      <c r="P111" s="2" t="s">
        <v>387</v>
      </c>
      <c r="Q111" s="2">
        <v>45</v>
      </c>
      <c r="R111" s="2">
        <v>40</v>
      </c>
      <c r="S111" s="2">
        <v>95</v>
      </c>
      <c r="T111" s="2">
        <v>95</v>
      </c>
      <c r="U111" s="2">
        <v>70</v>
      </c>
      <c r="V111" s="2">
        <v>43</v>
      </c>
    </row>
    <row r="112" spans="2:22" x14ac:dyDescent="0.15">
      <c r="B112" s="2">
        <v>107</v>
      </c>
      <c r="C112" s="2" t="s">
        <v>388</v>
      </c>
      <c r="D112" s="2">
        <f t="shared" si="2"/>
        <v>8400</v>
      </c>
      <c r="E112" s="2">
        <f t="shared" si="3"/>
        <v>44</v>
      </c>
      <c r="F112" s="2">
        <v>2</v>
      </c>
      <c r="G112" s="2">
        <v>41000</v>
      </c>
      <c r="H112" s="2">
        <v>5</v>
      </c>
      <c r="I112" s="2">
        <v>4</v>
      </c>
      <c r="J112" s="2">
        <v>9</v>
      </c>
      <c r="K112" s="2">
        <v>10</v>
      </c>
      <c r="L112" s="2">
        <v>8</v>
      </c>
      <c r="P112" s="2" t="s">
        <v>389</v>
      </c>
      <c r="Q112" s="2">
        <v>45</v>
      </c>
      <c r="R112" s="2">
        <v>40</v>
      </c>
      <c r="S112" s="2">
        <v>95</v>
      </c>
      <c r="T112" s="2">
        <v>95</v>
      </c>
      <c r="U112" s="2">
        <v>60</v>
      </c>
      <c r="V112" s="2">
        <v>43</v>
      </c>
    </row>
    <row r="113" spans="2:22" x14ac:dyDescent="0.15">
      <c r="B113" s="2">
        <v>108</v>
      </c>
      <c r="C113" s="2" t="s">
        <v>390</v>
      </c>
      <c r="D113" s="2">
        <f t="shared" si="2"/>
        <v>8400</v>
      </c>
      <c r="E113" s="2">
        <f t="shared" si="3"/>
        <v>44</v>
      </c>
      <c r="F113" s="2">
        <v>2</v>
      </c>
      <c r="G113" s="2">
        <v>41000</v>
      </c>
      <c r="H113" s="2">
        <v>5</v>
      </c>
      <c r="I113" s="2">
        <v>4</v>
      </c>
      <c r="J113" s="2">
        <v>9</v>
      </c>
      <c r="K113" s="2">
        <v>10</v>
      </c>
      <c r="L113" s="2">
        <v>8</v>
      </c>
      <c r="P113" s="2" t="s">
        <v>391</v>
      </c>
      <c r="Q113" s="2">
        <v>45</v>
      </c>
      <c r="R113" s="2">
        <v>40</v>
      </c>
      <c r="S113" s="2">
        <v>95</v>
      </c>
      <c r="T113" s="2">
        <v>95</v>
      </c>
      <c r="U113" s="2">
        <v>0</v>
      </c>
      <c r="V113" s="2">
        <v>43</v>
      </c>
    </row>
    <row r="114" spans="2:22" x14ac:dyDescent="0.15">
      <c r="B114" s="2">
        <v>109</v>
      </c>
      <c r="C114" s="2" t="s">
        <v>392</v>
      </c>
      <c r="D114" s="2">
        <f t="shared" si="2"/>
        <v>8400</v>
      </c>
      <c r="E114" s="2">
        <f t="shared" si="3"/>
        <v>44</v>
      </c>
      <c r="F114" s="2">
        <v>2</v>
      </c>
      <c r="G114" s="2">
        <v>41000</v>
      </c>
      <c r="H114" s="2">
        <v>5</v>
      </c>
      <c r="I114" s="2">
        <v>4</v>
      </c>
      <c r="J114" s="2">
        <v>9</v>
      </c>
      <c r="K114" s="2">
        <v>10</v>
      </c>
      <c r="L114" s="2">
        <v>8</v>
      </c>
      <c r="P114" s="2" t="s">
        <v>393</v>
      </c>
      <c r="Q114" s="2">
        <v>45</v>
      </c>
      <c r="R114" s="2">
        <v>40</v>
      </c>
      <c r="S114" s="2">
        <v>95</v>
      </c>
      <c r="T114" s="2">
        <v>95</v>
      </c>
      <c r="U114" s="2">
        <v>0</v>
      </c>
      <c r="V114" s="2">
        <v>43</v>
      </c>
    </row>
    <row r="115" spans="2:22" x14ac:dyDescent="0.15">
      <c r="B115" s="2">
        <v>110</v>
      </c>
      <c r="C115" s="2" t="s">
        <v>394</v>
      </c>
      <c r="D115" s="2">
        <f t="shared" si="2"/>
        <v>8400</v>
      </c>
      <c r="E115" s="2">
        <f t="shared" si="3"/>
        <v>44</v>
      </c>
      <c r="F115" s="2">
        <v>2</v>
      </c>
      <c r="G115" s="2">
        <v>41000</v>
      </c>
      <c r="H115" s="2">
        <v>8</v>
      </c>
      <c r="I115" s="2">
        <v>9</v>
      </c>
      <c r="J115" s="2">
        <v>7</v>
      </c>
      <c r="K115" s="2">
        <v>5</v>
      </c>
      <c r="L115" s="2">
        <v>6</v>
      </c>
      <c r="P115" s="2" t="s">
        <v>395</v>
      </c>
      <c r="Q115" s="2">
        <v>95</v>
      </c>
      <c r="R115" s="2">
        <v>95</v>
      </c>
      <c r="S115" s="2">
        <v>45</v>
      </c>
      <c r="T115" s="2">
        <v>40</v>
      </c>
      <c r="U115" s="2">
        <v>0</v>
      </c>
      <c r="V115" s="2">
        <v>43</v>
      </c>
    </row>
    <row r="116" spans="2:22" x14ac:dyDescent="0.15">
      <c r="B116" s="2">
        <v>111</v>
      </c>
      <c r="C116" s="2" t="s">
        <v>396</v>
      </c>
      <c r="D116" s="2">
        <f t="shared" si="2"/>
        <v>8400</v>
      </c>
      <c r="E116" s="2">
        <f t="shared" si="3"/>
        <v>44</v>
      </c>
      <c r="F116" s="2">
        <v>2</v>
      </c>
      <c r="G116" s="2">
        <v>41000</v>
      </c>
      <c r="H116" s="2">
        <v>8</v>
      </c>
      <c r="I116" s="2">
        <v>9</v>
      </c>
      <c r="J116" s="2">
        <v>7</v>
      </c>
      <c r="K116" s="2">
        <v>5</v>
      </c>
      <c r="L116" s="2">
        <v>6</v>
      </c>
      <c r="P116" s="2" t="s">
        <v>397</v>
      </c>
      <c r="Q116" s="2">
        <v>95</v>
      </c>
      <c r="R116" s="2">
        <v>95</v>
      </c>
      <c r="S116" s="2">
        <v>45</v>
      </c>
      <c r="T116" s="2">
        <v>40</v>
      </c>
      <c r="U116" s="2">
        <v>0</v>
      </c>
      <c r="V116" s="2">
        <v>43</v>
      </c>
    </row>
    <row r="117" spans="2:22" x14ac:dyDescent="0.15">
      <c r="B117" s="2">
        <v>112</v>
      </c>
      <c r="C117" s="2" t="s">
        <v>398</v>
      </c>
      <c r="D117" s="2">
        <f t="shared" si="2"/>
        <v>8400</v>
      </c>
      <c r="E117" s="2">
        <f t="shared" si="3"/>
        <v>44</v>
      </c>
      <c r="F117" s="2">
        <v>2</v>
      </c>
      <c r="G117" s="2">
        <v>41000</v>
      </c>
      <c r="H117" s="2">
        <v>8</v>
      </c>
      <c r="I117" s="2">
        <v>9</v>
      </c>
      <c r="J117" s="2">
        <v>7</v>
      </c>
      <c r="K117" s="2">
        <v>5</v>
      </c>
      <c r="L117" s="2">
        <v>6</v>
      </c>
      <c r="P117" s="2" t="s">
        <v>399</v>
      </c>
      <c r="Q117" s="2">
        <v>95</v>
      </c>
      <c r="R117" s="2">
        <v>95</v>
      </c>
      <c r="S117" s="2">
        <v>45</v>
      </c>
      <c r="T117" s="2">
        <v>40</v>
      </c>
      <c r="U117" s="2">
        <v>0</v>
      </c>
      <c r="V117" s="2">
        <v>43</v>
      </c>
    </row>
    <row r="118" spans="2:22" x14ac:dyDescent="0.15">
      <c r="B118" s="2">
        <v>113</v>
      </c>
      <c r="C118" s="2" t="s">
        <v>400</v>
      </c>
      <c r="D118" s="2">
        <f t="shared" si="2"/>
        <v>8400</v>
      </c>
      <c r="E118" s="2">
        <f t="shared" si="3"/>
        <v>44</v>
      </c>
      <c r="F118" s="2">
        <v>2</v>
      </c>
      <c r="G118" s="2">
        <v>41000</v>
      </c>
      <c r="H118" s="2">
        <v>8</v>
      </c>
      <c r="I118" s="2">
        <v>9</v>
      </c>
      <c r="J118" s="2">
        <v>7</v>
      </c>
      <c r="K118" s="2">
        <v>5</v>
      </c>
      <c r="L118" s="2">
        <v>6</v>
      </c>
      <c r="P118" s="2" t="s">
        <v>401</v>
      </c>
      <c r="Q118" s="2">
        <v>95</v>
      </c>
      <c r="R118" s="2">
        <v>95</v>
      </c>
      <c r="S118" s="2">
        <v>45</v>
      </c>
      <c r="T118" s="2">
        <v>40</v>
      </c>
      <c r="U118" s="2">
        <v>0</v>
      </c>
      <c r="V118" s="2">
        <v>43</v>
      </c>
    </row>
    <row r="119" spans="2:22" x14ac:dyDescent="0.15">
      <c r="B119" s="2">
        <v>114</v>
      </c>
      <c r="C119" s="2" t="s">
        <v>9</v>
      </c>
      <c r="D119" s="2">
        <f t="shared" si="2"/>
        <v>8700</v>
      </c>
      <c r="E119" s="2">
        <f t="shared" si="3"/>
        <v>47</v>
      </c>
      <c r="F119" s="2">
        <v>1</v>
      </c>
      <c r="G119" s="2">
        <v>50000</v>
      </c>
      <c r="H119" s="2">
        <v>5</v>
      </c>
      <c r="I119" s="2">
        <v>4</v>
      </c>
      <c r="J119" s="2">
        <v>9</v>
      </c>
      <c r="K119" s="2">
        <v>10</v>
      </c>
      <c r="L119" s="2">
        <v>8</v>
      </c>
      <c r="P119" s="2" t="s">
        <v>402</v>
      </c>
      <c r="Q119" s="2">
        <v>50</v>
      </c>
      <c r="R119" s="2">
        <v>45</v>
      </c>
      <c r="S119" s="2">
        <v>95</v>
      </c>
      <c r="T119" s="2">
        <v>95</v>
      </c>
      <c r="U119" s="2">
        <v>65</v>
      </c>
      <c r="V119" s="2">
        <v>46</v>
      </c>
    </row>
    <row r="120" spans="2:22" x14ac:dyDescent="0.15">
      <c r="B120" s="2">
        <v>115</v>
      </c>
      <c r="C120" s="2" t="s">
        <v>403</v>
      </c>
      <c r="D120" s="2">
        <f t="shared" si="2"/>
        <v>8700</v>
      </c>
      <c r="E120" s="2">
        <f t="shared" si="3"/>
        <v>47</v>
      </c>
      <c r="F120" s="2">
        <v>1</v>
      </c>
      <c r="G120" s="2">
        <v>50000</v>
      </c>
      <c r="H120" s="2">
        <v>5</v>
      </c>
      <c r="I120" s="2">
        <v>4</v>
      </c>
      <c r="J120" s="2">
        <v>9</v>
      </c>
      <c r="K120" s="2">
        <v>10</v>
      </c>
      <c r="L120" s="2">
        <v>8</v>
      </c>
      <c r="P120" s="2" t="s">
        <v>404</v>
      </c>
      <c r="Q120" s="2">
        <v>50</v>
      </c>
      <c r="R120" s="2">
        <v>45</v>
      </c>
      <c r="S120" s="2">
        <v>95</v>
      </c>
      <c r="T120" s="2">
        <v>95</v>
      </c>
      <c r="U120" s="2">
        <v>70</v>
      </c>
      <c r="V120" s="2">
        <v>46</v>
      </c>
    </row>
    <row r="121" spans="2:22" x14ac:dyDescent="0.15">
      <c r="B121" s="2">
        <v>116</v>
      </c>
      <c r="C121" s="2" t="s">
        <v>405</v>
      </c>
      <c r="D121" s="2">
        <f t="shared" si="2"/>
        <v>8700</v>
      </c>
      <c r="E121" s="2">
        <f t="shared" si="3"/>
        <v>47</v>
      </c>
      <c r="F121" s="2">
        <v>1</v>
      </c>
      <c r="G121" s="2">
        <v>50000</v>
      </c>
      <c r="H121" s="2">
        <v>5</v>
      </c>
      <c r="I121" s="2">
        <v>4</v>
      </c>
      <c r="J121" s="2">
        <v>9</v>
      </c>
      <c r="K121" s="2">
        <v>10</v>
      </c>
      <c r="L121" s="2">
        <v>8</v>
      </c>
      <c r="P121" s="2" t="s">
        <v>406</v>
      </c>
      <c r="Q121" s="2">
        <v>50</v>
      </c>
      <c r="R121" s="2">
        <v>45</v>
      </c>
      <c r="S121" s="2">
        <v>95</v>
      </c>
      <c r="T121" s="2">
        <v>95</v>
      </c>
      <c r="U121" s="2">
        <v>50</v>
      </c>
      <c r="V121" s="2">
        <v>46</v>
      </c>
    </row>
    <row r="122" spans="2:22" x14ac:dyDescent="0.15">
      <c r="B122" s="2">
        <v>117</v>
      </c>
      <c r="C122" s="2" t="s">
        <v>407</v>
      </c>
      <c r="D122" s="2">
        <f t="shared" si="2"/>
        <v>8700</v>
      </c>
      <c r="E122" s="2">
        <f t="shared" si="3"/>
        <v>47</v>
      </c>
      <c r="F122" s="2">
        <v>1</v>
      </c>
      <c r="G122" s="2">
        <v>50000</v>
      </c>
      <c r="H122" s="2">
        <v>5</v>
      </c>
      <c r="I122" s="2">
        <v>4</v>
      </c>
      <c r="J122" s="2">
        <v>9</v>
      </c>
      <c r="K122" s="2">
        <v>10</v>
      </c>
      <c r="L122" s="2">
        <v>8</v>
      </c>
      <c r="P122" s="2" t="s">
        <v>408</v>
      </c>
      <c r="Q122" s="2">
        <v>50</v>
      </c>
      <c r="R122" s="2">
        <v>45</v>
      </c>
      <c r="S122" s="2">
        <v>95</v>
      </c>
      <c r="T122" s="2">
        <v>95</v>
      </c>
      <c r="U122" s="2">
        <v>0</v>
      </c>
      <c r="V122" s="2">
        <v>46</v>
      </c>
    </row>
    <row r="123" spans="2:22" x14ac:dyDescent="0.15">
      <c r="B123" s="2">
        <v>118</v>
      </c>
      <c r="C123" s="2" t="s">
        <v>409</v>
      </c>
      <c r="D123" s="2">
        <f t="shared" si="2"/>
        <v>8700</v>
      </c>
      <c r="E123" s="2">
        <f t="shared" si="3"/>
        <v>47</v>
      </c>
      <c r="F123" s="2">
        <v>1</v>
      </c>
      <c r="G123" s="2">
        <v>50000</v>
      </c>
      <c r="H123" s="2">
        <v>5</v>
      </c>
      <c r="I123" s="2">
        <v>4</v>
      </c>
      <c r="J123" s="2">
        <v>9</v>
      </c>
      <c r="K123" s="2">
        <v>10</v>
      </c>
      <c r="L123" s="2">
        <v>8</v>
      </c>
      <c r="P123" s="2" t="s">
        <v>410</v>
      </c>
      <c r="Q123" s="2">
        <v>50</v>
      </c>
      <c r="R123" s="2">
        <v>45</v>
      </c>
      <c r="S123" s="2">
        <v>95</v>
      </c>
      <c r="T123" s="2">
        <v>95</v>
      </c>
      <c r="U123" s="2">
        <v>40</v>
      </c>
      <c r="V123" s="2">
        <v>46</v>
      </c>
    </row>
    <row r="124" spans="2:22" x14ac:dyDescent="0.15">
      <c r="B124" s="2">
        <v>119</v>
      </c>
      <c r="C124" s="2" t="s">
        <v>74</v>
      </c>
      <c r="D124" s="2">
        <f t="shared" si="2"/>
        <v>8700</v>
      </c>
      <c r="E124" s="2">
        <f t="shared" si="3"/>
        <v>47</v>
      </c>
      <c r="F124" s="2">
        <v>1</v>
      </c>
      <c r="G124" s="2">
        <v>50000</v>
      </c>
      <c r="H124" s="2">
        <v>5</v>
      </c>
      <c r="I124" s="2">
        <v>4</v>
      </c>
      <c r="J124" s="2">
        <v>9</v>
      </c>
      <c r="K124" s="2">
        <v>10</v>
      </c>
      <c r="L124" s="2">
        <v>8</v>
      </c>
      <c r="P124" s="2" t="s">
        <v>411</v>
      </c>
      <c r="Q124" s="2">
        <v>50</v>
      </c>
      <c r="R124" s="2">
        <v>45</v>
      </c>
      <c r="S124" s="2">
        <v>95</v>
      </c>
      <c r="T124" s="2">
        <v>95</v>
      </c>
      <c r="U124" s="2">
        <v>35</v>
      </c>
      <c r="V124" s="2">
        <v>46</v>
      </c>
    </row>
    <row r="125" spans="2:22" x14ac:dyDescent="0.15">
      <c r="B125" s="2">
        <v>120</v>
      </c>
      <c r="C125" s="2" t="s">
        <v>412</v>
      </c>
      <c r="D125" s="2">
        <f t="shared" si="2"/>
        <v>8700</v>
      </c>
      <c r="E125" s="2">
        <f t="shared" si="3"/>
        <v>47</v>
      </c>
      <c r="F125" s="2">
        <v>1</v>
      </c>
      <c r="G125" s="2">
        <v>50000</v>
      </c>
      <c r="H125" s="2">
        <v>8</v>
      </c>
      <c r="I125" s="2">
        <v>9</v>
      </c>
      <c r="J125" s="2">
        <v>7</v>
      </c>
      <c r="K125" s="2">
        <v>5</v>
      </c>
      <c r="L125" s="2">
        <v>6</v>
      </c>
      <c r="P125" s="2" t="s">
        <v>413</v>
      </c>
      <c r="Q125" s="2">
        <v>95</v>
      </c>
      <c r="R125" s="2">
        <v>95</v>
      </c>
      <c r="S125" s="2">
        <v>50</v>
      </c>
      <c r="T125" s="2">
        <v>45</v>
      </c>
      <c r="U125" s="2">
        <v>0</v>
      </c>
      <c r="V125" s="2">
        <v>46</v>
      </c>
    </row>
    <row r="126" spans="2:22" x14ac:dyDescent="0.15">
      <c r="B126" s="2">
        <v>121</v>
      </c>
      <c r="C126" s="2" t="s">
        <v>414</v>
      </c>
      <c r="D126" s="2">
        <f t="shared" si="2"/>
        <v>8700</v>
      </c>
      <c r="E126" s="2">
        <f t="shared" si="3"/>
        <v>47</v>
      </c>
      <c r="F126" s="2">
        <v>1</v>
      </c>
      <c r="G126" s="2">
        <v>50000</v>
      </c>
      <c r="H126" s="2">
        <v>8</v>
      </c>
      <c r="I126" s="2">
        <v>9</v>
      </c>
      <c r="J126" s="2">
        <v>7</v>
      </c>
      <c r="K126" s="2">
        <v>5</v>
      </c>
      <c r="L126" s="2">
        <v>6</v>
      </c>
      <c r="P126" s="2" t="s">
        <v>415</v>
      </c>
      <c r="Q126" s="2">
        <v>95</v>
      </c>
      <c r="R126" s="2">
        <v>95</v>
      </c>
      <c r="S126" s="2">
        <v>50</v>
      </c>
      <c r="T126" s="2">
        <v>45</v>
      </c>
      <c r="U126" s="2">
        <v>0</v>
      </c>
      <c r="V126" s="2">
        <v>46</v>
      </c>
    </row>
    <row r="127" spans="2:22" x14ac:dyDescent="0.15">
      <c r="B127" s="2">
        <v>122</v>
      </c>
      <c r="C127" s="2" t="s">
        <v>416</v>
      </c>
      <c r="D127" s="2">
        <f t="shared" si="2"/>
        <v>8700</v>
      </c>
      <c r="E127" s="2">
        <f t="shared" si="3"/>
        <v>47</v>
      </c>
      <c r="F127" s="2">
        <v>1</v>
      </c>
      <c r="G127" s="2">
        <v>50000</v>
      </c>
      <c r="H127" s="2">
        <v>8</v>
      </c>
      <c r="I127" s="2">
        <v>9</v>
      </c>
      <c r="J127" s="2">
        <v>7</v>
      </c>
      <c r="K127" s="2">
        <v>5</v>
      </c>
      <c r="L127" s="2">
        <v>6</v>
      </c>
      <c r="P127" s="2" t="s">
        <v>417</v>
      </c>
      <c r="Q127" s="2">
        <v>95</v>
      </c>
      <c r="R127" s="2">
        <v>95</v>
      </c>
      <c r="S127" s="2">
        <v>50</v>
      </c>
      <c r="T127" s="2">
        <v>45</v>
      </c>
      <c r="U127" s="2">
        <v>0</v>
      </c>
      <c r="V127" s="2">
        <v>46</v>
      </c>
    </row>
    <row r="128" spans="2:22" x14ac:dyDescent="0.15">
      <c r="B128" s="2">
        <v>123</v>
      </c>
      <c r="C128" s="2" t="s">
        <v>418</v>
      </c>
      <c r="D128" s="2">
        <f t="shared" si="2"/>
        <v>8700</v>
      </c>
      <c r="E128" s="2">
        <f t="shared" si="3"/>
        <v>47</v>
      </c>
      <c r="F128" s="2">
        <v>1</v>
      </c>
      <c r="G128" s="2">
        <v>50000</v>
      </c>
      <c r="H128" s="2">
        <v>8</v>
      </c>
      <c r="I128" s="2">
        <v>9</v>
      </c>
      <c r="J128" s="2">
        <v>7</v>
      </c>
      <c r="K128" s="2">
        <v>5</v>
      </c>
      <c r="L128" s="2">
        <v>6</v>
      </c>
      <c r="P128" s="2" t="s">
        <v>419</v>
      </c>
      <c r="Q128" s="2">
        <v>95</v>
      </c>
      <c r="R128" s="2">
        <v>95</v>
      </c>
      <c r="S128" s="2">
        <v>50</v>
      </c>
      <c r="T128" s="2">
        <v>45</v>
      </c>
      <c r="U128" s="2">
        <v>0</v>
      </c>
      <c r="V128" s="2">
        <v>46</v>
      </c>
    </row>
    <row r="129" spans="2:22" x14ac:dyDescent="0.15">
      <c r="B129" s="2">
        <v>124</v>
      </c>
      <c r="C129" s="2" t="s">
        <v>420</v>
      </c>
      <c r="D129" s="2">
        <f t="shared" si="2"/>
        <v>9000</v>
      </c>
      <c r="E129" s="2">
        <f t="shared" si="3"/>
        <v>50</v>
      </c>
      <c r="F129" s="2">
        <v>0</v>
      </c>
      <c r="G129" s="2">
        <v>0</v>
      </c>
      <c r="H129" s="2">
        <v>6</v>
      </c>
      <c r="I129" s="2">
        <v>5</v>
      </c>
      <c r="J129" s="2">
        <v>10</v>
      </c>
      <c r="K129" s="2">
        <v>10</v>
      </c>
      <c r="L129" s="2">
        <v>9</v>
      </c>
      <c r="P129" s="2" t="s">
        <v>421</v>
      </c>
      <c r="Q129" s="2">
        <v>55</v>
      </c>
      <c r="R129" s="2">
        <v>50</v>
      </c>
      <c r="S129" s="2">
        <v>95</v>
      </c>
      <c r="T129" s="2">
        <v>95</v>
      </c>
      <c r="U129" s="2">
        <v>70</v>
      </c>
      <c r="V129" s="2">
        <v>50</v>
      </c>
    </row>
    <row r="130" spans="2:22" x14ac:dyDescent="0.15">
      <c r="B130" s="2">
        <v>125</v>
      </c>
      <c r="C130" s="2" t="s">
        <v>422</v>
      </c>
      <c r="D130" s="2">
        <f t="shared" si="2"/>
        <v>9000</v>
      </c>
      <c r="E130" s="2">
        <f t="shared" si="3"/>
        <v>50</v>
      </c>
      <c r="F130" s="2">
        <v>0</v>
      </c>
      <c r="G130" s="2">
        <v>0</v>
      </c>
      <c r="H130" s="2">
        <v>6</v>
      </c>
      <c r="I130" s="2">
        <v>5</v>
      </c>
      <c r="J130" s="2">
        <v>10</v>
      </c>
      <c r="K130" s="2">
        <v>10</v>
      </c>
      <c r="L130" s="2">
        <v>9</v>
      </c>
      <c r="P130" s="2" t="s">
        <v>423</v>
      </c>
      <c r="Q130" s="2">
        <v>55</v>
      </c>
      <c r="R130" s="2">
        <v>50</v>
      </c>
      <c r="S130" s="2">
        <v>95</v>
      </c>
      <c r="T130" s="2">
        <v>95</v>
      </c>
      <c r="U130" s="2">
        <v>65</v>
      </c>
      <c r="V130" s="2">
        <v>50</v>
      </c>
    </row>
    <row r="131" spans="2:22" x14ac:dyDescent="0.15">
      <c r="B131" s="2">
        <v>126</v>
      </c>
      <c r="C131" s="2" t="s">
        <v>424</v>
      </c>
      <c r="D131" s="2">
        <f t="shared" si="2"/>
        <v>9000</v>
      </c>
      <c r="E131" s="2">
        <f t="shared" si="3"/>
        <v>50</v>
      </c>
      <c r="F131" s="2">
        <v>0</v>
      </c>
      <c r="G131" s="2">
        <v>0</v>
      </c>
      <c r="H131" s="2">
        <v>6</v>
      </c>
      <c r="I131" s="2">
        <v>5</v>
      </c>
      <c r="J131" s="2">
        <v>10</v>
      </c>
      <c r="K131" s="2">
        <v>10</v>
      </c>
      <c r="L131" s="2">
        <v>9</v>
      </c>
      <c r="P131" s="2" t="s">
        <v>425</v>
      </c>
      <c r="Q131" s="2">
        <v>55</v>
      </c>
      <c r="R131" s="2">
        <v>50</v>
      </c>
      <c r="S131" s="2">
        <v>95</v>
      </c>
      <c r="T131" s="2">
        <v>95</v>
      </c>
      <c r="U131" s="2">
        <v>55</v>
      </c>
      <c r="V131" s="2">
        <v>50</v>
      </c>
    </row>
    <row r="132" spans="2:22" x14ac:dyDescent="0.15">
      <c r="B132" s="2">
        <v>127</v>
      </c>
      <c r="C132" s="2" t="s">
        <v>426</v>
      </c>
      <c r="D132" s="2">
        <f t="shared" si="2"/>
        <v>9000</v>
      </c>
      <c r="E132" s="2">
        <f t="shared" si="3"/>
        <v>50</v>
      </c>
      <c r="F132" s="2">
        <v>0</v>
      </c>
      <c r="G132" s="2">
        <v>0</v>
      </c>
      <c r="H132" s="2">
        <v>6</v>
      </c>
      <c r="I132" s="2">
        <v>5</v>
      </c>
      <c r="J132" s="2">
        <v>10</v>
      </c>
      <c r="K132" s="2">
        <v>10</v>
      </c>
      <c r="L132" s="2">
        <v>9</v>
      </c>
      <c r="P132" s="2" t="s">
        <v>427</v>
      </c>
      <c r="Q132" s="2">
        <v>55</v>
      </c>
      <c r="R132" s="2">
        <v>50</v>
      </c>
      <c r="S132" s="2">
        <v>95</v>
      </c>
      <c r="T132" s="2">
        <v>95</v>
      </c>
      <c r="U132" s="2">
        <v>70</v>
      </c>
      <c r="V132" s="2">
        <v>50</v>
      </c>
    </row>
    <row r="133" spans="2:22" x14ac:dyDescent="0.15">
      <c r="B133" s="2">
        <v>128</v>
      </c>
      <c r="C133" s="2" t="s">
        <v>428</v>
      </c>
      <c r="D133" s="2">
        <f t="shared" si="2"/>
        <v>9000</v>
      </c>
      <c r="E133" s="2">
        <f t="shared" si="3"/>
        <v>50</v>
      </c>
      <c r="F133" s="2">
        <v>0</v>
      </c>
      <c r="G133" s="2">
        <v>0</v>
      </c>
      <c r="H133" s="2">
        <v>9</v>
      </c>
      <c r="I133" s="2">
        <v>10</v>
      </c>
      <c r="J133" s="2">
        <v>8</v>
      </c>
      <c r="K133" s="2">
        <v>6</v>
      </c>
      <c r="L133" s="2">
        <v>7</v>
      </c>
      <c r="P133" s="2" t="s">
        <v>429</v>
      </c>
      <c r="Q133" s="2">
        <v>95</v>
      </c>
      <c r="R133" s="2">
        <v>95</v>
      </c>
      <c r="S133" s="2">
        <v>55</v>
      </c>
      <c r="T133" s="2">
        <v>50</v>
      </c>
      <c r="U133" s="2">
        <v>0</v>
      </c>
      <c r="V133" s="2">
        <v>50</v>
      </c>
    </row>
    <row r="134" spans="2:22" x14ac:dyDescent="0.15">
      <c r="B134" s="2">
        <v>129</v>
      </c>
      <c r="C134" s="2" t="s">
        <v>430</v>
      </c>
      <c r="D134" s="2">
        <f t="shared" si="2"/>
        <v>9000</v>
      </c>
      <c r="E134" s="2">
        <f t="shared" si="3"/>
        <v>50</v>
      </c>
      <c r="F134" s="2">
        <v>0</v>
      </c>
      <c r="G134" s="2">
        <v>0</v>
      </c>
      <c r="H134" s="2">
        <v>9</v>
      </c>
      <c r="I134" s="2">
        <v>10</v>
      </c>
      <c r="J134" s="2">
        <v>8</v>
      </c>
      <c r="K134" s="2">
        <v>6</v>
      </c>
      <c r="L134" s="2">
        <v>7</v>
      </c>
      <c r="P134" s="2" t="s">
        <v>431</v>
      </c>
      <c r="Q134" s="2">
        <v>95</v>
      </c>
      <c r="R134" s="2">
        <v>95</v>
      </c>
      <c r="S134" s="2">
        <v>55</v>
      </c>
      <c r="T134" s="2">
        <v>50</v>
      </c>
      <c r="U134" s="2">
        <v>0</v>
      </c>
      <c r="V134" s="2">
        <v>50</v>
      </c>
    </row>
    <row r="135" spans="2:22" x14ac:dyDescent="0.15">
      <c r="B135" s="2">
        <v>130</v>
      </c>
      <c r="C135" s="2" t="s">
        <v>432</v>
      </c>
      <c r="D135" s="2">
        <f t="shared" ref="D135" si="4">$D$5+(15-F135)*300</f>
        <v>9000</v>
      </c>
      <c r="E135" s="2">
        <f t="shared" ref="E135" si="5">$E$5+(15-F135)*3</f>
        <v>50</v>
      </c>
      <c r="F135" s="2">
        <v>0</v>
      </c>
      <c r="G135" s="2">
        <v>0</v>
      </c>
      <c r="H135" s="2">
        <v>9</v>
      </c>
      <c r="I135" s="2">
        <v>10</v>
      </c>
      <c r="J135" s="2">
        <v>8</v>
      </c>
      <c r="K135" s="2">
        <v>6</v>
      </c>
      <c r="L135" s="2">
        <v>7</v>
      </c>
      <c r="P135" s="2" t="s">
        <v>433</v>
      </c>
      <c r="Q135" s="2">
        <v>95</v>
      </c>
      <c r="R135" s="2">
        <v>95</v>
      </c>
      <c r="S135" s="2">
        <v>55</v>
      </c>
      <c r="T135" s="2">
        <v>50</v>
      </c>
      <c r="U135" s="2">
        <v>0</v>
      </c>
      <c r="V135" s="2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Officials</vt:lpstr>
      <vt:lpstr>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2026-07-29T03:57:50Z</dcterms:modified>
</cp:coreProperties>
</file>