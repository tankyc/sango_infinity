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三国志11 伤害计算公式\"/>
    </mc:Choice>
  </mc:AlternateContent>
  <xr:revisionPtr revIDLastSave="0" documentId="13_ncr:1_{E59BAB76-107F-45AD-BDA1-358326DF3AB6}" xr6:coauthVersionLast="47" xr6:coauthVersionMax="47" xr10:uidLastSave="{00000000-0000-0000-0000-000000000000}"/>
  <bookViews>
    <workbookView xWindow="8280" yWindow="750" windowWidth="21825" windowHeight="13320" xr2:uid="{00000000-000D-0000-FFFF-FFFF00000000}"/>
  </bookViews>
  <sheets>
    <sheet name="Sheet1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3" l="1"/>
  <c r="A25" i="13"/>
  <c r="A1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Liu</author>
    <author>红色三倍速高达</author>
  </authors>
  <commentList>
    <comment ref="E2" authorId="0" shapeId="0" xr:uid="{00000000-0006-0000-0000-000001000000}">
      <text>
        <r>
          <rPr>
            <b/>
            <sz val="9"/>
            <color indexed="81"/>
            <rFont val="宋体"/>
            <charset val="134"/>
          </rPr>
          <t>红色三倍速高达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宋体"/>
            <charset val="134"/>
          </rPr>
          <t>根据攻击方式不同填写以下数值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宋体"/>
            <charset val="134"/>
          </rPr>
          <t>以下为原版游戏默认设置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charset val="134"/>
          </rPr>
          <t>任何近程普攻：</t>
        </r>
        <r>
          <rPr>
            <sz val="9"/>
            <color indexed="81"/>
            <rFont val="Tahoma"/>
            <family val="2"/>
          </rPr>
          <t xml:space="preserve">10
</t>
        </r>
        <r>
          <rPr>
            <sz val="9"/>
            <color indexed="81"/>
            <rFont val="宋体"/>
            <charset val="134"/>
          </rPr>
          <t>任何远程普攻：</t>
        </r>
        <r>
          <rPr>
            <sz val="9"/>
            <color indexed="81"/>
            <rFont val="Tahoma"/>
            <family val="2"/>
          </rPr>
          <t xml:space="preserve">0
</t>
        </r>
        <r>
          <rPr>
            <sz val="9"/>
            <color indexed="81"/>
            <rFont val="宋体"/>
            <charset val="134"/>
          </rPr>
          <t>枪兵战法依次：</t>
        </r>
        <r>
          <rPr>
            <sz val="9"/>
            <color indexed="81"/>
            <rFont val="Tahoma"/>
            <family val="2"/>
          </rPr>
          <t xml:space="preserve">25, 30, 35
</t>
        </r>
        <r>
          <rPr>
            <sz val="9"/>
            <color indexed="81"/>
            <rFont val="宋体"/>
            <charset val="134"/>
          </rPr>
          <t>戟兵战法依次：</t>
        </r>
        <r>
          <rPr>
            <sz val="9"/>
            <color indexed="81"/>
            <rFont val="Tahoma"/>
            <family val="2"/>
          </rPr>
          <t xml:space="preserve">25, 30, 33
</t>
        </r>
        <r>
          <rPr>
            <sz val="9"/>
            <color indexed="81"/>
            <rFont val="宋体"/>
            <charset val="134"/>
          </rPr>
          <t>弩兵战法依次：</t>
        </r>
        <r>
          <rPr>
            <sz val="9"/>
            <color indexed="81"/>
            <rFont val="Tahoma"/>
            <family val="2"/>
          </rPr>
          <t xml:space="preserve">10, 20, 25
</t>
        </r>
        <r>
          <rPr>
            <sz val="9"/>
            <color indexed="81"/>
            <rFont val="宋体"/>
            <charset val="134"/>
          </rPr>
          <t>骑兵战法依次：</t>
        </r>
        <r>
          <rPr>
            <sz val="9"/>
            <color indexed="81"/>
            <rFont val="Tahoma"/>
            <family val="2"/>
          </rPr>
          <t xml:space="preserve">30, 35, 40
</t>
        </r>
        <r>
          <rPr>
            <sz val="9"/>
            <color indexed="81"/>
            <rFont val="宋体"/>
            <charset val="134"/>
          </rPr>
          <t>木兽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charset val="134"/>
          </rPr>
          <t>放射：</t>
        </r>
        <r>
          <rPr>
            <sz val="9"/>
            <color indexed="81"/>
            <rFont val="Tahoma"/>
            <family val="2"/>
          </rPr>
          <t xml:space="preserve">20
</t>
        </r>
        <r>
          <rPr>
            <sz val="9"/>
            <color indexed="81"/>
            <rFont val="宋体"/>
            <charset val="134"/>
          </rPr>
          <t>井阑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charset val="134"/>
          </rPr>
          <t>火矢：</t>
        </r>
        <r>
          <rPr>
            <sz val="9"/>
            <color indexed="81"/>
            <rFont val="Tahoma"/>
            <family val="2"/>
          </rPr>
          <t xml:space="preserve">15
</t>
        </r>
        <r>
          <rPr>
            <sz val="9"/>
            <color indexed="81"/>
            <rFont val="宋体"/>
            <charset val="134"/>
          </rPr>
          <t>投石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charset val="134"/>
          </rPr>
          <t>投石：</t>
        </r>
        <r>
          <rPr>
            <sz val="9"/>
            <color indexed="81"/>
            <rFont val="Tahoma"/>
            <family val="2"/>
          </rPr>
          <t xml:space="preserve">35
</t>
        </r>
        <r>
          <rPr>
            <sz val="9"/>
            <color indexed="81"/>
            <rFont val="宋体"/>
            <family val="3"/>
            <charset val="134"/>
          </rPr>
          <t>水军战法依次：</t>
        </r>
        <r>
          <rPr>
            <sz val="9"/>
            <color indexed="81"/>
            <rFont val="Tahoma"/>
            <family val="2"/>
          </rPr>
          <t>15, 25, 35</t>
        </r>
      </text>
    </comment>
    <comment ref="A4" authorId="1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红色三倍速高达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攻方处于太鼓台影响范围内</t>
        </r>
      </text>
    </comment>
    <comment ref="B4" authorId="1" shapeId="0" xr:uid="{00000000-0006-0000-0000-000003000000}">
      <text>
        <r>
          <rPr>
            <b/>
            <sz val="9"/>
            <color indexed="81"/>
            <rFont val="宋体"/>
            <family val="3"/>
            <charset val="134"/>
          </rPr>
          <t>红色三倍速高达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暴击，普攻和战法兼用</t>
        </r>
      </text>
    </comment>
    <comment ref="C4" authorId="1" shapeId="0" xr:uid="{00000000-0006-0000-0000-000004000000}">
      <text>
        <r>
          <rPr>
            <b/>
            <sz val="9"/>
            <color indexed="81"/>
            <rFont val="宋体"/>
            <family val="3"/>
            <charset val="134"/>
          </rPr>
          <t>红色三倍速高达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骑克戟，戟克枪，枪克骑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仅限战法</t>
        </r>
      </text>
    </comment>
    <comment ref="D4" authorId="1" shapeId="0" xr:uid="{00000000-0006-0000-0000-000005000000}">
      <text>
        <r>
          <rPr>
            <b/>
            <sz val="9"/>
            <color indexed="81"/>
            <rFont val="宋体"/>
            <family val="3"/>
            <charset val="134"/>
          </rPr>
          <t>红色三倍速高达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同左，相反
特殊情况是弩兵对上兵器也适用此系数
仅限战法</t>
        </r>
      </text>
    </comment>
    <comment ref="E4" authorId="1" shapeId="0" xr:uid="{00000000-0006-0000-0000-000006000000}">
      <text>
        <r>
          <rPr>
            <b/>
            <sz val="9"/>
            <color indexed="81"/>
            <rFont val="宋体"/>
            <family val="3"/>
            <charset val="134"/>
          </rPr>
          <t>红色三倍速高达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兵器（包括水军）对上兵器时
伤害会有一定减成
仅限战法</t>
        </r>
      </text>
    </comment>
    <comment ref="F4" authorId="1" shapeId="0" xr:uid="{00000000-0006-0000-0000-000007000000}">
      <text>
        <r>
          <rPr>
            <b/>
            <sz val="9"/>
            <color indexed="81"/>
            <rFont val="宋体"/>
            <family val="3"/>
            <charset val="134"/>
          </rPr>
          <t>红色三倍速高达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攻方持有对应兵种的“</t>
        </r>
        <r>
          <rPr>
            <sz val="9"/>
            <color indexed="81"/>
            <rFont val="Tahoma"/>
            <family val="2"/>
          </rPr>
          <t>X</t>
        </r>
        <r>
          <rPr>
            <sz val="9"/>
            <color indexed="81"/>
            <rFont val="宋体"/>
            <family val="3"/>
            <charset val="134"/>
          </rPr>
          <t>兵熟练”科技时</t>
        </r>
      </text>
    </comment>
    <comment ref="G4" authorId="1" shapeId="0" xr:uid="{00000000-0006-0000-0000-000008000000}">
      <text>
        <r>
          <rPr>
            <b/>
            <sz val="9"/>
            <color indexed="81"/>
            <rFont val="宋体"/>
            <family val="3"/>
            <charset val="134"/>
          </rPr>
          <t>红色三倍速高达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攻方持有对应兵种的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精锐</t>
        </r>
        <r>
          <rPr>
            <sz val="9"/>
            <color indexed="81"/>
            <rFont val="Tahoma"/>
            <family val="2"/>
          </rPr>
          <t>X</t>
        </r>
        <r>
          <rPr>
            <sz val="9"/>
            <color indexed="81"/>
            <rFont val="宋体"/>
            <family val="3"/>
            <charset val="134"/>
          </rPr>
          <t>兵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科技时</t>
        </r>
      </text>
    </comment>
    <comment ref="H4" authorId="1" shapeId="0" xr:uid="{00000000-0006-0000-0000-000009000000}">
      <text>
        <r>
          <rPr>
            <b/>
            <sz val="9"/>
            <color indexed="81"/>
            <rFont val="宋体"/>
            <family val="3"/>
            <charset val="134"/>
          </rPr>
          <t>红色三倍速高达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所处难度为超级时
仅限玩家控制方</t>
        </r>
      </text>
    </comment>
    <comment ref="I4" authorId="0" shapeId="0" xr:uid="{00000000-0006-0000-0000-00000A000000}">
      <text>
        <r>
          <rPr>
            <b/>
            <sz val="9"/>
            <color indexed="81"/>
            <rFont val="宋体"/>
            <charset val="134"/>
          </rPr>
          <t>红色三倍速高达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charset val="134"/>
          </rPr>
          <t>左方这几项如果满足条件就填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charset val="134"/>
          </rPr>
          <t>，未满足填</t>
        </r>
        <r>
          <rPr>
            <sz val="9"/>
            <color indexed="81"/>
            <rFont val="Tahoma"/>
            <family val="2"/>
          </rPr>
          <t>0</t>
        </r>
      </text>
    </comment>
    <comment ref="C11" authorId="1" shapeId="0" xr:uid="{00000000-0006-0000-0000-00000B000000}">
      <text>
        <r>
          <rPr>
            <b/>
            <sz val="9"/>
            <color indexed="81"/>
            <rFont val="宋体"/>
            <family val="3"/>
            <charset val="134"/>
          </rPr>
          <t>红色三倍速高达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宋体"/>
            <family val="3"/>
            <charset val="134"/>
          </rPr>
          <t>根据攻击方式不同填写以下数值
以下为原版游戏默认设置</t>
        </r>
        <r>
          <rPr>
            <sz val="9"/>
            <color indexed="81"/>
            <rFont val="宋体"/>
            <family val="3"/>
            <charset val="134"/>
          </rPr>
          <t xml:space="preserve">
任何近程普攻：</t>
        </r>
        <r>
          <rPr>
            <sz val="9"/>
            <color indexed="81"/>
            <rFont val="Tahoma"/>
            <family val="2"/>
          </rPr>
          <t xml:space="preserve">15
</t>
        </r>
        <r>
          <rPr>
            <sz val="9"/>
            <color indexed="81"/>
            <rFont val="宋体"/>
            <family val="3"/>
            <charset val="134"/>
          </rPr>
          <t>任何远程普攻：</t>
        </r>
        <r>
          <rPr>
            <sz val="9"/>
            <color indexed="81"/>
            <rFont val="Tahoma"/>
            <family val="2"/>
          </rPr>
          <t xml:space="preserve">5
</t>
        </r>
        <r>
          <rPr>
            <sz val="9"/>
            <color indexed="81"/>
            <rFont val="宋体"/>
            <family val="3"/>
            <charset val="134"/>
          </rPr>
          <t>任何弩兵战法：</t>
        </r>
        <r>
          <rPr>
            <sz val="9"/>
            <color indexed="81"/>
            <rFont val="Tahoma"/>
            <family val="2"/>
          </rPr>
          <t xml:space="preserve">15
</t>
        </r>
        <r>
          <rPr>
            <sz val="9"/>
            <color indexed="81"/>
            <rFont val="宋体"/>
            <family val="3"/>
            <charset val="134"/>
          </rPr>
          <t>井阑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火矢：</t>
        </r>
        <r>
          <rPr>
            <sz val="9"/>
            <color indexed="81"/>
            <rFont val="Tahoma"/>
            <family val="2"/>
          </rPr>
          <t xml:space="preserve">20
</t>
        </r>
        <r>
          <rPr>
            <sz val="9"/>
            <color indexed="81"/>
            <rFont val="宋体"/>
            <family val="3"/>
            <charset val="134"/>
          </rPr>
          <t>投石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投石：</t>
        </r>
        <r>
          <rPr>
            <sz val="9"/>
            <color indexed="81"/>
            <rFont val="Tahoma"/>
            <family val="2"/>
          </rPr>
          <t xml:space="preserve">90
</t>
        </r>
        <r>
          <rPr>
            <sz val="9"/>
            <color indexed="81"/>
            <rFont val="宋体"/>
            <family val="3"/>
            <charset val="134"/>
          </rPr>
          <t>水军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火矢：</t>
        </r>
        <r>
          <rPr>
            <sz val="9"/>
            <color indexed="81"/>
            <rFont val="Tahoma"/>
            <family val="2"/>
          </rPr>
          <t xml:space="preserve">15
</t>
        </r>
        <r>
          <rPr>
            <sz val="9"/>
            <color indexed="81"/>
            <rFont val="宋体"/>
            <family val="3"/>
            <charset val="134"/>
          </rPr>
          <t>水军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投石：</t>
        </r>
        <r>
          <rPr>
            <sz val="9"/>
            <color indexed="81"/>
            <rFont val="Tahoma"/>
            <family val="2"/>
          </rPr>
          <t>90</t>
        </r>
      </text>
    </comment>
    <comment ref="D11" authorId="1" shapeId="0" xr:uid="{00000000-0006-0000-0000-00000C000000}">
      <text>
        <r>
          <rPr>
            <b/>
            <sz val="9"/>
            <color indexed="81"/>
            <rFont val="宋体"/>
            <family val="3"/>
            <charset val="134"/>
          </rPr>
          <t>红色三倍速高达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宋体"/>
            <family val="3"/>
            <charset val="134"/>
          </rPr>
          <t>最终伤害会因受攻击的建筑的种类影响，请根据以下分类填写该项系数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宋体"/>
            <family val="3"/>
            <charset val="134"/>
          </rPr>
          <t>火陷阱倍率</t>
        </r>
        <r>
          <rPr>
            <sz val="9"/>
            <color indexed="81"/>
            <rFont val="Tahoma"/>
            <family val="2"/>
          </rPr>
          <t xml:space="preserve">1.6
- </t>
        </r>
        <r>
          <rPr>
            <sz val="9"/>
            <color indexed="81"/>
            <rFont val="宋体"/>
            <family val="3"/>
            <charset val="134"/>
          </rPr>
          <t>内政设施倍率</t>
        </r>
        <r>
          <rPr>
            <sz val="9"/>
            <color indexed="81"/>
            <rFont val="Tahoma"/>
            <family val="2"/>
          </rPr>
          <t xml:space="preserve">1.1
- </t>
        </r>
        <r>
          <rPr>
            <sz val="9"/>
            <color indexed="81"/>
            <rFont val="宋体"/>
            <family val="3"/>
            <charset val="134"/>
          </rPr>
          <t>箭楼，连弩楼，投石台，石兵八阵倍率分别为</t>
        </r>
        <r>
          <rPr>
            <sz val="9"/>
            <color indexed="81"/>
            <rFont val="Tahoma"/>
            <family val="2"/>
          </rPr>
          <t>1.0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0.7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1.0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 xml:space="preserve">1.0
- </t>
        </r>
        <r>
          <rPr>
            <sz val="9"/>
            <color indexed="81"/>
            <rFont val="宋体"/>
            <family val="3"/>
            <charset val="134"/>
          </rPr>
          <t>土墙，石墙倍率</t>
        </r>
        <r>
          <rPr>
            <sz val="9"/>
            <color indexed="81"/>
            <rFont val="Tahoma"/>
            <family val="2"/>
          </rPr>
          <t>0.9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 xml:space="preserve">0.7
- </t>
        </r>
        <r>
          <rPr>
            <sz val="9"/>
            <color indexed="81"/>
            <rFont val="宋体"/>
            <family val="3"/>
            <charset val="134"/>
          </rPr>
          <t>港口，城池，关卡倍率</t>
        </r>
        <r>
          <rPr>
            <sz val="9"/>
            <color indexed="81"/>
            <rFont val="Tahoma"/>
            <family val="2"/>
          </rPr>
          <t>0.8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 xml:space="preserve">0.7, 0.6
- </t>
        </r>
        <r>
          <rPr>
            <sz val="9"/>
            <color indexed="81"/>
            <rFont val="宋体"/>
            <family val="3"/>
            <charset val="134"/>
          </rPr>
          <t>阵，砦，城塞倍率</t>
        </r>
        <r>
          <rPr>
            <sz val="9"/>
            <color indexed="81"/>
            <rFont val="Tahoma"/>
            <family val="2"/>
          </rPr>
          <t>0.8, 0.7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 xml:space="preserve">0.6
- </t>
        </r>
        <r>
          <rPr>
            <sz val="9"/>
            <color indexed="81"/>
            <rFont val="宋体"/>
            <family val="3"/>
            <charset val="134"/>
          </rPr>
          <t>堤防，落石倍率为</t>
        </r>
        <r>
          <rPr>
            <sz val="9"/>
            <color indexed="81"/>
            <rFont val="Tahoma"/>
            <family val="2"/>
          </rPr>
          <t>0.7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1.0</t>
        </r>
      </text>
    </comment>
    <comment ref="C13" authorId="1" shapeId="0" xr:uid="{00000000-0006-0000-0000-00000D000000}">
      <text>
        <r>
          <rPr>
            <b/>
            <sz val="9"/>
            <color indexed="81"/>
            <rFont val="宋体"/>
            <family val="3"/>
            <charset val="134"/>
          </rPr>
          <t>红色三倍速高达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攻方是兵器（投石和井阑）或水军以外单位并持有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云梯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 xml:space="preserve">科技时
</t>
        </r>
        <r>
          <rPr>
            <b/>
            <sz val="9"/>
            <color indexed="81"/>
            <rFont val="宋体"/>
            <family val="3"/>
            <charset val="134"/>
          </rPr>
          <t>请确认与右边“兵器云梯”非同时成立</t>
        </r>
      </text>
    </comment>
    <comment ref="D13" authorId="1" shapeId="0" xr:uid="{00000000-0006-0000-0000-00000E000000}">
      <text>
        <r>
          <rPr>
            <b/>
            <sz val="9"/>
            <color indexed="81"/>
            <rFont val="宋体"/>
            <family val="3"/>
            <charset val="134"/>
          </rPr>
          <t>红色三倍速高达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攻方是兵器（投石和井阑）或水军并持有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云梯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 xml:space="preserve">科技时
</t>
        </r>
        <r>
          <rPr>
            <b/>
            <sz val="9"/>
            <color indexed="81"/>
            <rFont val="宋体"/>
            <family val="3"/>
            <charset val="134"/>
          </rPr>
          <t>请确认与左边“一般云梯”非同时成立</t>
        </r>
      </text>
    </comment>
    <comment ref="C20" authorId="1" shapeId="0" xr:uid="{00000000-0006-0000-0000-00000F000000}">
      <text>
        <r>
          <rPr>
            <b/>
            <sz val="9"/>
            <color indexed="81"/>
            <rFont val="宋体"/>
            <family val="3"/>
            <charset val="134"/>
          </rPr>
          <t>红色三倍速高达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宋体"/>
            <family val="3"/>
            <charset val="134"/>
          </rPr>
          <t>根据攻击方式不同填写以下数值
以下为原版游戏默认设置</t>
        </r>
        <r>
          <rPr>
            <sz val="9"/>
            <color indexed="81"/>
            <rFont val="宋体"/>
            <family val="3"/>
            <charset val="134"/>
          </rPr>
          <t xml:space="preserve">
冲车：</t>
        </r>
        <r>
          <rPr>
            <sz val="9"/>
            <color indexed="81"/>
            <rFont val="Tahoma"/>
            <family val="2"/>
          </rPr>
          <t xml:space="preserve">130
</t>
        </r>
        <r>
          <rPr>
            <sz val="9"/>
            <color indexed="81"/>
            <rFont val="宋体"/>
            <family val="3"/>
            <charset val="134"/>
          </rPr>
          <t>木兽：</t>
        </r>
        <r>
          <rPr>
            <sz val="9"/>
            <color indexed="81"/>
            <rFont val="Tahoma"/>
            <family val="2"/>
          </rPr>
          <t>155</t>
        </r>
      </text>
    </comment>
    <comment ref="D20" authorId="1" shapeId="0" xr:uid="{00000000-0006-0000-0000-000010000000}">
      <text>
        <r>
          <rPr>
            <b/>
            <sz val="9"/>
            <color indexed="81"/>
            <rFont val="宋体"/>
            <family val="3"/>
            <charset val="134"/>
          </rPr>
          <t>红色三倍速高达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宋体"/>
            <family val="3"/>
            <charset val="134"/>
          </rPr>
          <t>与其他兵种不同，冲车和木兽只会受到火陷阱和内政设施两种建筑的伤害倍率影响，其他建筑一律视为倍率</t>
        </r>
        <r>
          <rPr>
            <b/>
            <sz val="9"/>
            <color indexed="81"/>
            <rFont val="Tahoma"/>
            <family val="2"/>
          </rPr>
          <t>=1</t>
        </r>
        <r>
          <rPr>
            <b/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宋体"/>
            <family val="3"/>
            <charset val="134"/>
          </rPr>
          <t>火陷阱倍率</t>
        </r>
        <r>
          <rPr>
            <sz val="9"/>
            <color indexed="81"/>
            <rFont val="Tahoma"/>
            <family val="2"/>
          </rPr>
          <t xml:space="preserve">1.6
- </t>
        </r>
        <r>
          <rPr>
            <sz val="9"/>
            <color indexed="81"/>
            <rFont val="宋体"/>
            <family val="3"/>
            <charset val="134"/>
          </rPr>
          <t>内政设施倍率</t>
        </r>
        <r>
          <rPr>
            <sz val="9"/>
            <color indexed="81"/>
            <rFont val="Tahoma"/>
            <family val="2"/>
          </rPr>
          <t xml:space="preserve">1.1
- </t>
        </r>
        <r>
          <rPr>
            <sz val="9"/>
            <color indexed="81"/>
            <rFont val="宋体"/>
            <family val="3"/>
            <charset val="134"/>
          </rPr>
          <t>其他所有建筑倍率</t>
        </r>
        <r>
          <rPr>
            <sz val="9"/>
            <color indexed="81"/>
            <rFont val="Tahoma"/>
            <family val="2"/>
          </rPr>
          <t xml:space="preserve">1
</t>
        </r>
        <r>
          <rPr>
            <b/>
            <sz val="9"/>
            <color indexed="81"/>
            <rFont val="宋体"/>
            <family val="3"/>
            <charset val="134"/>
          </rPr>
          <t>另外这里并不是意味着冲车和木兽只会受到倍率大于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宋体"/>
            <family val="3"/>
            <charset val="134"/>
          </rPr>
          <t>的建筑系数影响，而是只针对上述的两种建筑。所以如果通过修改将内政设施伤害倍率设为</t>
        </r>
        <r>
          <rPr>
            <b/>
            <sz val="9"/>
            <color indexed="81"/>
            <rFont val="Tahoma"/>
            <family val="2"/>
          </rPr>
          <t>0</t>
        </r>
        <r>
          <rPr>
            <b/>
            <sz val="9"/>
            <color indexed="81"/>
            <rFont val="宋体"/>
            <family val="3"/>
            <charset val="134"/>
          </rPr>
          <t>，则冲车</t>
        </r>
        <r>
          <rPr>
            <b/>
            <sz val="9"/>
            <color indexed="81"/>
            <rFont val="Tahoma"/>
            <family val="2"/>
          </rPr>
          <t>&amp;</t>
        </r>
        <r>
          <rPr>
            <b/>
            <sz val="9"/>
            <color indexed="81"/>
            <rFont val="宋体"/>
            <family val="3"/>
            <charset val="134"/>
          </rPr>
          <t>木兽将无法造成伤害，但其他建筑就算调为</t>
        </r>
        <r>
          <rPr>
            <b/>
            <sz val="9"/>
            <color indexed="81"/>
            <rFont val="Tahoma"/>
            <family val="2"/>
          </rPr>
          <t>0</t>
        </r>
        <r>
          <rPr>
            <b/>
            <sz val="9"/>
            <color indexed="81"/>
            <rFont val="宋体"/>
            <family val="3"/>
            <charset val="134"/>
          </rPr>
          <t>也无法影响冲车</t>
        </r>
        <r>
          <rPr>
            <b/>
            <sz val="9"/>
            <color indexed="81"/>
            <rFont val="Tahoma"/>
            <family val="2"/>
          </rPr>
          <t>&amp;</t>
        </r>
        <r>
          <rPr>
            <b/>
            <sz val="9"/>
            <color indexed="81"/>
            <rFont val="宋体"/>
            <family val="3"/>
            <charset val="134"/>
          </rPr>
          <t>木兽的伤害</t>
        </r>
      </text>
    </comment>
    <comment ref="C22" authorId="1" shapeId="0" xr:uid="{00000000-0006-0000-0000-000011000000}">
      <text>
        <r>
          <rPr>
            <b/>
            <sz val="9"/>
            <color indexed="81"/>
            <rFont val="宋体"/>
            <family val="3"/>
            <charset val="134"/>
          </rPr>
          <t>红色三倍速高达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如攻方（冲车或木兽）持有“云梯”科技时</t>
        </r>
      </text>
    </comment>
  </commentList>
</comments>
</file>

<file path=xl/sharedStrings.xml><?xml version="1.0" encoding="utf-8"?>
<sst xmlns="http://schemas.openxmlformats.org/spreadsheetml/2006/main" count="37" uniqueCount="29">
  <si>
    <t>攻方兵力</t>
    <phoneticPr fontId="2" type="noConversion"/>
  </si>
  <si>
    <t>守方兵力</t>
    <phoneticPr fontId="2" type="noConversion"/>
  </si>
  <si>
    <t>攻方攻击</t>
    <phoneticPr fontId="2" type="noConversion"/>
  </si>
  <si>
    <t>守方防御</t>
    <phoneticPr fontId="2" type="noConversion"/>
  </si>
  <si>
    <t>结果</t>
    <phoneticPr fontId="2" type="noConversion"/>
  </si>
  <si>
    <t>野战伤害</t>
    <phoneticPr fontId="1" type="noConversion"/>
  </si>
  <si>
    <t>太鼓台</t>
    <phoneticPr fontId="1" type="noConversion"/>
  </si>
  <si>
    <t>会心一击</t>
    <phoneticPr fontId="1" type="noConversion"/>
  </si>
  <si>
    <t>兵种克敌</t>
    <phoneticPr fontId="1" type="noConversion"/>
  </si>
  <si>
    <t>兵种被克</t>
    <phoneticPr fontId="1" type="noConversion"/>
  </si>
  <si>
    <t>熟练兵种</t>
    <phoneticPr fontId="1" type="noConversion"/>
  </si>
  <si>
    <t>精锐兵种</t>
    <phoneticPr fontId="1" type="noConversion"/>
  </si>
  <si>
    <t>超级难度</t>
    <phoneticPr fontId="1" type="noConversion"/>
  </si>
  <si>
    <t>看这里</t>
    <phoneticPr fontId="1" type="noConversion"/>
  </si>
  <si>
    <t>特殊被克</t>
    <phoneticPr fontId="1" type="noConversion"/>
  </si>
  <si>
    <t>伤害系数</t>
    <phoneticPr fontId="2" type="noConversion"/>
  </si>
  <si>
    <t>耐久伤害（冲车&amp;木兽以外所有单位）</t>
    <phoneticPr fontId="1" type="noConversion"/>
  </si>
  <si>
    <t>攻方兵力</t>
    <phoneticPr fontId="1" type="noConversion"/>
  </si>
  <si>
    <t>攻方攻击</t>
    <phoneticPr fontId="1" type="noConversion"/>
  </si>
  <si>
    <t>伤害系数</t>
    <phoneticPr fontId="1" type="noConversion"/>
  </si>
  <si>
    <t>建筑系数</t>
    <phoneticPr fontId="1" type="noConversion"/>
  </si>
  <si>
    <t>一般云梯</t>
    <phoneticPr fontId="1" type="noConversion"/>
  </si>
  <si>
    <t>兵器云梯</t>
    <phoneticPr fontId="1" type="noConversion"/>
  </si>
  <si>
    <t>太鼓台</t>
    <phoneticPr fontId="1" type="noConversion"/>
  </si>
  <si>
    <t>会心一击</t>
    <phoneticPr fontId="1" type="noConversion"/>
  </si>
  <si>
    <t>结果</t>
    <phoneticPr fontId="1" type="noConversion"/>
  </si>
  <si>
    <t>超级难度</t>
    <phoneticPr fontId="1" type="noConversion"/>
  </si>
  <si>
    <t>耐久伤害（冲车&amp;木兽）</t>
    <phoneticPr fontId="1" type="noConversion"/>
  </si>
  <si>
    <t>云梯科技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</si>
</sst>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charset val="134"/>
    </font>
    <font>
      <sz val="9"/>
      <color indexed="81"/>
      <name val="宋体"/>
      <charset val="134"/>
    </font>
    <font>
      <sz val="11"/>
      <color rgb="FFFF0000"/>
      <name val="宋体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1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E2" sqref="E2"/>
    </sheetView>
  </sheetViews>
  <sheetFormatPr defaultRowHeight="13.5" x14ac:dyDescent="0.15"/>
  <cols>
    <col min="1" max="16384" width="9" style="1"/>
  </cols>
  <sheetData>
    <row r="1" spans="1:9" x14ac:dyDescent="0.15">
      <c r="A1" s="1" t="s">
        <v>5</v>
      </c>
    </row>
    <row r="2" spans="1:9" x14ac:dyDescent="0.15">
      <c r="A2" s="1" t="s">
        <v>0</v>
      </c>
      <c r="B2" s="1" t="s">
        <v>1</v>
      </c>
      <c r="C2" s="1" t="s">
        <v>2</v>
      </c>
      <c r="D2" s="1" t="s">
        <v>3</v>
      </c>
      <c r="E2" s="3" t="s">
        <v>15</v>
      </c>
    </row>
    <row r="3" spans="1:9" x14ac:dyDescent="0.15">
      <c r="A3" s="1">
        <v>10000</v>
      </c>
      <c r="B3" s="1">
        <v>10000</v>
      </c>
      <c r="C3" s="1">
        <v>80</v>
      </c>
      <c r="D3" s="1">
        <v>80</v>
      </c>
      <c r="E3" s="1">
        <v>0</v>
      </c>
    </row>
    <row r="4" spans="1:9" x14ac:dyDescent="0.15">
      <c r="A4" s="1" t="s">
        <v>6</v>
      </c>
      <c r="B4" s="1" t="s">
        <v>7</v>
      </c>
      <c r="C4" s="1" t="s">
        <v>8</v>
      </c>
      <c r="D4" s="1" t="s">
        <v>9</v>
      </c>
      <c r="E4" s="3" t="s">
        <v>14</v>
      </c>
      <c r="F4" s="1" t="s">
        <v>10</v>
      </c>
      <c r="G4" s="1" t="s">
        <v>11</v>
      </c>
      <c r="H4" s="1" t="s">
        <v>12</v>
      </c>
      <c r="I4" s="2" t="s">
        <v>13</v>
      </c>
    </row>
    <row r="5" spans="1:9" x14ac:dyDescent="0.1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</row>
    <row r="6" spans="1:9" x14ac:dyDescent="0.15">
      <c r="A6" s="1" t="s">
        <v>4</v>
      </c>
    </row>
    <row r="7" spans="1:9" x14ac:dyDescent="0.15">
      <c r="A7" s="1">
        <f>INT((((E3*64)^0.5+MAX(0,INT((C3^2-MAX(40,D3)^2)/300))+MAX(0,INT((A3-B3)/2000))+50)*10*(TRUNC(((INT(A3*0.01)+300)*(C3+50)^2*0.01*100)/((INT(A3*0.01)+300)*(C3+50)^2*0.01+(INT(B3*0.01)+300)*(D3+50)^2*0.01)-50)+50)*MIN(INT(A3/4)^0.5,40)*0.000476190455*IF(A5=1,1.1,1)+INT(A3/200))*IF(B5=1,1.15,1)*IF(C5=1,1.15,1)*IF(D5=1,0.85,1)*IF(E5=1,0.8,1)*IF(F5=1,IF(G5=0,1.1,1),1)*IF(G5=1,1.15,1)*IF(H5=1,0.75,1))</f>
        <v>526</v>
      </c>
    </row>
    <row r="10" spans="1:9" x14ac:dyDescent="0.15">
      <c r="A10" s="3" t="s">
        <v>16</v>
      </c>
    </row>
    <row r="11" spans="1:9" x14ac:dyDescent="0.15">
      <c r="A11" s="3" t="s">
        <v>17</v>
      </c>
      <c r="B11" s="3" t="s">
        <v>18</v>
      </c>
      <c r="C11" s="3" t="s">
        <v>19</v>
      </c>
      <c r="D11" s="3" t="s">
        <v>20</v>
      </c>
      <c r="E11" s="3"/>
      <c r="F11" s="3"/>
      <c r="G11" s="3"/>
      <c r="H11" s="3"/>
    </row>
    <row r="12" spans="1:9" x14ac:dyDescent="0.15">
      <c r="A12" s="1">
        <v>10000</v>
      </c>
      <c r="B12" s="1">
        <v>100</v>
      </c>
      <c r="C12" s="1">
        <v>15</v>
      </c>
      <c r="D12" s="1">
        <v>0.7</v>
      </c>
    </row>
    <row r="13" spans="1:9" x14ac:dyDescent="0.15">
      <c r="A13" s="3" t="s">
        <v>23</v>
      </c>
      <c r="B13" s="3" t="s">
        <v>24</v>
      </c>
      <c r="C13" s="3" t="s">
        <v>21</v>
      </c>
      <c r="D13" s="3" t="s">
        <v>22</v>
      </c>
      <c r="E13" s="3" t="s">
        <v>26</v>
      </c>
    </row>
    <row r="14" spans="1:9" x14ac:dyDescent="0.15">
      <c r="A14" s="1">
        <v>0</v>
      </c>
      <c r="B14" s="1">
        <v>0</v>
      </c>
      <c r="C14" s="1">
        <v>0</v>
      </c>
      <c r="D14" s="1">
        <v>0</v>
      </c>
      <c r="E14" s="1">
        <v>1</v>
      </c>
    </row>
    <row r="15" spans="1:9" x14ac:dyDescent="0.15">
      <c r="A15" s="3" t="s">
        <v>25</v>
      </c>
    </row>
    <row r="16" spans="1:9" x14ac:dyDescent="0.15">
      <c r="A16" s="1">
        <f>INT(A12^0.5*B12*(1/1500)^0.5*(1+C12/25)*D12*IF(C14=1,1.4,1)*IF(D14=1,1.2,1)*IF(A14=1,1.1,1)*IF(B14=1,1.15,1)*IF(E14=1,0.75,1))</f>
        <v>216</v>
      </c>
    </row>
    <row r="19" spans="1:5" x14ac:dyDescent="0.15">
      <c r="A19" s="3" t="s">
        <v>27</v>
      </c>
    </row>
    <row r="20" spans="1:5" x14ac:dyDescent="0.15">
      <c r="A20" s="3" t="s">
        <v>17</v>
      </c>
      <c r="B20" s="3" t="s">
        <v>18</v>
      </c>
      <c r="C20" s="3" t="s">
        <v>19</v>
      </c>
      <c r="D20" s="3" t="s">
        <v>20</v>
      </c>
      <c r="E20" s="3"/>
    </row>
    <row r="21" spans="1:5" x14ac:dyDescent="0.15">
      <c r="A21" s="1">
        <v>10000</v>
      </c>
      <c r="B21" s="1">
        <v>100</v>
      </c>
      <c r="C21" s="1">
        <v>155</v>
      </c>
      <c r="D21" s="1">
        <v>1</v>
      </c>
    </row>
    <row r="22" spans="1:5" x14ac:dyDescent="0.15">
      <c r="A22" s="3" t="s">
        <v>23</v>
      </c>
      <c r="B22" s="3" t="s">
        <v>24</v>
      </c>
      <c r="C22" s="3" t="s">
        <v>28</v>
      </c>
      <c r="D22" s="3" t="s">
        <v>26</v>
      </c>
    </row>
    <row r="23" spans="1:5" x14ac:dyDescent="0.15">
      <c r="A23" s="1">
        <v>0</v>
      </c>
      <c r="B23" s="1">
        <v>0</v>
      </c>
      <c r="C23" s="1">
        <v>0</v>
      </c>
      <c r="D23" s="1">
        <v>1</v>
      </c>
    </row>
    <row r="24" spans="1:5" x14ac:dyDescent="0.15">
      <c r="A24" s="3" t="s">
        <v>25</v>
      </c>
    </row>
    <row r="25" spans="1:5" x14ac:dyDescent="0.15">
      <c r="A25" s="1">
        <f>INT((INT(A21/25)+A21^0.5+MIN(A21^0.5,40)*B21*(1/1500)^0.5*(1+C21/25)*IF(A23=1,1.1,1))*D21*IF(B23=1,1.15,1)*IF(C23=1,1.2,1)*IF(D23=1,0.75,1))</f>
        <v>932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Liu</dc:creator>
  <cp:lastModifiedBy>Administrator</cp:lastModifiedBy>
  <cp:revision/>
  <cp:lastPrinted>1899-12-30T00:00:00Z</cp:lastPrinted>
  <dcterms:created xsi:type="dcterms:W3CDTF">2009-09-23T00:04:40Z</dcterms:created>
  <dcterms:modified xsi:type="dcterms:W3CDTF">2025-10-11T04:01:04Z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2052-6.6.0.2877</vt:lpwstr>
  </property>
</Properties>
</file>